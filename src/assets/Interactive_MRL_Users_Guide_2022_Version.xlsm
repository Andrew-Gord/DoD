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usaf-my.dps.mil/personal/barry_burton_1_us_af_mil/Documents/Desktop/"/>
    </mc:Choice>
  </mc:AlternateContent>
  <xr:revisionPtr revIDLastSave="121" documentId="8_{AF9655CD-B5BF-4E3D-A729-EEBE0160B65F}" xr6:coauthVersionLast="47" xr6:coauthVersionMax="47" xr10:uidLastSave="{38103114-2BB3-4502-B8DC-BC332879BF33}"/>
  <workbookProtection workbookAlgorithmName="SHA-512" workbookHashValue="uLVhhGQGMXLCZlw60VNpf1zo8JPL6sUUqaX7fK+RtTH0XxQuILVGLB4i/+upIIgCzdVW+DUN2aIPv7vNktRKTg==" workbookSaltValue="NVOnWjNt3T9V/AobTXx2nw==" workbookSpinCount="100000" lockStructure="1"/>
  <bookViews>
    <workbookView xWindow="-120" yWindow="90" windowWidth="29040" windowHeight="15630" xr2:uid="{00000000-000D-0000-FFFF-FFFF00000000}"/>
  </bookViews>
  <sheets>
    <sheet name="Introduction" sheetId="16" r:id="rId1"/>
    <sheet name="Instructions" sheetId="4" state="hidden" r:id="rId2"/>
    <sheet name="V 2017 Notes" sheetId="15" state="hidden" r:id="rId3"/>
    <sheet name="Database" sheetId="5" state="hidden" r:id="rId4"/>
    <sheet name="Criteria" sheetId="6" state="hidden" r:id="rId5"/>
    <sheet name="MRL Users Guide" sheetId="7" r:id="rId6"/>
    <sheet name="Definitions" sheetId="9" r:id="rId7"/>
    <sheet name="List of Acronyms" sheetId="10" r:id="rId8"/>
    <sheet name="Printable MRL Matrix" sheetId="19" r:id="rId9"/>
    <sheet name="Questionnaire" sheetId="18" r:id="rId10"/>
    <sheet name="Summary Pivot" sheetId="13" state="hidden" r:id="rId11"/>
  </sheets>
  <definedNames>
    <definedName name="_xlnm._FilterDatabase" localSheetId="9" hidden="1">Questionnaire!$A$3:$G$607</definedName>
    <definedName name="JTDatabase">Database!$A:$F</definedName>
    <definedName name="JTLink1Address">Criteria!$F$6</definedName>
    <definedName name="JTLink1Text">Criteria!$E$6</definedName>
    <definedName name="JTMatrixText">Criteria!$C$6</definedName>
    <definedName name="JTMaturityLevel">Criteria!$C$12</definedName>
    <definedName name="JTMaturityLevelRef">Criteria!$A$12</definedName>
    <definedName name="JTRecordRef">Criteria!$A$6</definedName>
    <definedName name="JTReferenceText">Criteria!$D$6</definedName>
    <definedName name="JTRefRow">Criteria!$H$6</definedName>
    <definedName name="JTTechnologyArea">Criteria!$C$9</definedName>
    <definedName name="JTTechnologyAreaRef">Criteria!$A$9</definedName>
    <definedName name="_xlnm.Print_Area" localSheetId="6">Definitions!$A$2:$A$75</definedName>
    <definedName name="_xlnm.Print_Area" localSheetId="1">Instructions!$A$1:$A$5</definedName>
    <definedName name="_xlnm.Print_Area" localSheetId="5">'MRL Users Guide'!$A$2:$L$28</definedName>
    <definedName name="_xlnm.Print_Area" localSheetId="8">'Printable MRL Matrix'!$A$2:$L$29</definedName>
    <definedName name="_xlnm.Print_Area" localSheetId="9">Questionnaire!$A:$G</definedName>
    <definedName name="_xlnm.Print_Titles" localSheetId="5">'MRL Users Guide'!$1:$6</definedName>
    <definedName name="_xlnm.Print_Titles" localSheetId="8">'Printable MRL Matrix'!$2:$5</definedName>
    <definedName name="Z_39F8B159_5CE5_4233_8AA6_8793D2B2357C_.wvu.PrintArea" localSheetId="8" hidden="1">'Printable MRL Matrix'!$A$2:$L$28</definedName>
    <definedName name="Z_39F8B159_5CE5_4233_8AA6_8793D2B2357C_.wvu.PrintTitles" localSheetId="8" hidden="1">'Printable MRL Matrix'!$2:$5</definedName>
    <definedName name="Z_40337492_017F_437B_A12D_A1760EEDF278_.wvu.PrintArea" localSheetId="8" hidden="1">'Printable MRL Matrix'!$A$2:$L$28</definedName>
    <definedName name="Z_40337492_017F_437B_A12D_A1760EEDF278_.wvu.PrintTitles" localSheetId="8" hidden="1">'Printable MRL Matrix'!$2:$5</definedName>
    <definedName name="Z_FACB2B99_64E3_4D9E_8A12_93A17D4621AC_.wvu.PrintArea" localSheetId="8" hidden="1">'Printable MRL Matrix'!$A$2:$L$28</definedName>
    <definedName name="Z_FACB2B99_64E3_4D9E_8A12_93A17D4621AC_.wvu.PrintTitles" localSheetId="8" hidden="1">'Printable MRL Matrix'!$2:$5</definedName>
  </definedNames>
  <calcPr calcId="191029"/>
  <pivotCaches>
    <pivotCache cacheId="0" r:id="rId12"/>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2" i="6" l="1"/>
  <c r="C9" i="6"/>
  <c r="H6" i="6"/>
  <c r="F6" i="6"/>
  <c r="E6" i="6"/>
  <c r="D6" i="6"/>
  <c r="C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Burton, Barry (HON Company)</author>
    <author>J. Masters</author>
  </authors>
  <commentList>
    <comment ref="B3" authorId="0" shapeId="0" xr:uid="{00000000-0006-0000-0900-000001000000}">
      <text>
        <r>
          <rPr>
            <b/>
            <sz val="9"/>
            <color indexed="81"/>
            <rFont val="Tahoma"/>
            <family val="2"/>
          </rPr>
          <t>Burton, Barry (AFRL/RXM):</t>
        </r>
        <r>
          <rPr>
            <sz val="9"/>
            <color indexed="81"/>
            <rFont val="Tahoma"/>
            <family val="2"/>
          </rPr>
          <t xml:space="preserve">
You can filter for one or more MRL's by clicking on the drop-down arrow and checking the applicable boxes you wish to display.  </t>
        </r>
      </text>
    </comment>
    <comment ref="C3" authorId="0" shapeId="0" xr:uid="{00000000-0006-0000-0900-000002000000}">
      <text>
        <r>
          <rPr>
            <b/>
            <sz val="9"/>
            <color indexed="81"/>
            <rFont val="Tahoma"/>
            <family val="2"/>
          </rPr>
          <t xml:space="preserve">Burton, Barry (AFRL/RXM):
</t>
        </r>
        <r>
          <rPr>
            <sz val="9"/>
            <color indexed="81"/>
            <rFont val="Tahoma"/>
            <family val="2"/>
          </rPr>
          <t xml:space="preserve">You can filter for one or more "Threads" by clicking the arrow and checking the appropriate boxes for only those you wish to display.  
</t>
        </r>
      </text>
    </comment>
    <comment ref="F3" authorId="0" shapeId="0" xr:uid="{00000000-0006-0000-0900-000004000000}">
      <text>
        <r>
          <rPr>
            <b/>
            <sz val="9"/>
            <color indexed="81"/>
            <rFont val="Tahoma"/>
            <family val="2"/>
          </rPr>
          <t>Burton, Barry (AFRL/RXM):</t>
        </r>
        <r>
          <rPr>
            <sz val="9"/>
            <color indexed="81"/>
            <rFont val="Tahoma"/>
            <family val="2"/>
          </rPr>
          <t xml:space="preserve">
Evidence / Artifacts</t>
        </r>
      </text>
    </comment>
    <comment ref="E220" authorId="1" shapeId="0" xr:uid="{00000000-0006-0000-0900-000005000000}">
      <text>
        <r>
          <rPr>
            <b/>
            <sz val="9"/>
            <color indexed="81"/>
            <rFont val="Tahoma"/>
            <family val="2"/>
          </rPr>
          <t>J. Masters:</t>
        </r>
        <r>
          <rPr>
            <sz val="9"/>
            <color indexed="81"/>
            <rFont val="Tahoma"/>
            <family val="2"/>
          </rPr>
          <t xml:space="preserve">
This one is carry-over from MRL_Users_Guide V12.6. It doesn't exactly match the MRL Matrix V11.6 criteria… but it is right.
</t>
        </r>
      </text>
    </comment>
  </commentList>
</comments>
</file>

<file path=xl/sharedStrings.xml><?xml version="1.0" encoding="utf-8"?>
<sst xmlns="http://schemas.openxmlformats.org/spreadsheetml/2006/main" count="4663" uniqueCount="2548">
  <si>
    <t>MRL Users Guide Instructions</t>
  </si>
  <si>
    <r>
      <t xml:space="preserve">This MRL Users Guide is based on guidance from </t>
    </r>
    <r>
      <rPr>
        <b/>
        <sz val="12"/>
        <rFont val="Arial"/>
        <family val="2"/>
      </rPr>
      <t xml:space="preserve">DoDI 5000.02 dated 7 January 2015 </t>
    </r>
    <r>
      <rPr>
        <sz val="12"/>
        <rFont val="Arial"/>
        <family val="2"/>
      </rPr>
      <t xml:space="preserve">and consists of SEVEN worksheets: (1) This first worksheet is the MRL Users Guide Instructions. (2) The second worksheet is the digital Users Guide. This Guide has the capability to display detailed information about the MRL or Product Life Cycle by simply clicking on a given cell or icon for which information is desired.  The cells down Column A provide information about the specific threads that are traced in that row of the matrix.  The cells and icons in Rows 2 through 6 display information about the phases of the Product Life Cycle, Acquisition Reviews, Acquisition Milestone descriptions, MRL and TRL definitions and background information for that stage of the product life-cycle.  (3) The third worksheet is a definition list of terms typically used in the acquisition and manufacturing readiness assessment process. (4) The fourth worksheet is a list of acronyms commonly used in the acquisition process. (5) The fifth worksheet contains the standard 11' x 17" MRL Matrix for those who wish to view or print the entire matrix as hard copy. (Note: Your printer must first be formatted for the desired size paper and the size adjusted appropriately.) (6) The sixth worksheet contains a complete list of questions (criteria), derived from the MRL Matrix, to be used in assessments of manufacturing readiness.  </t>
    </r>
    <r>
      <rPr>
        <b/>
        <sz val="12"/>
        <rFont val="Arial"/>
        <family val="2"/>
      </rPr>
      <t xml:space="preserve">This list of questions is NOT intended to be answered in its entirety! </t>
    </r>
    <r>
      <rPr>
        <sz val="12"/>
        <rFont val="Arial"/>
        <family val="2"/>
      </rPr>
      <t xml:space="preserve">It should be tailored to the system, subsystem, or component being assessed and be limited to questions focused on the target MRL or one level lower. Make sure filters are turned "ON" under "Data" and "Filter".  (7) The seventh worksheet is a pivot table roll-up of data entered into the sixth worksheet.  You may filter for specific MRLs using the drop-down filters.                                                                                                                                 </t>
    </r>
  </si>
  <si>
    <r>
      <t xml:space="preserve">To activate the Users Guide, first be sure that the "Enable content" and "Enable pop-up text" boxes at the top are checked, then click on a cell to display information about that cell or topic.  If the cell contains more information than can be displayed on a single screen, you can scroll up or down by using the bar at the right hand side of the window or the up and down arrow keys on your keyboard.  If your screen resolution does not permit you to view the entire data sheet you also have the option to display the entire form as a tabbed page (the background will not be visible if you choose this option). Simply click on the box at the top of the Guide that says "View form as a tabbed page." When you are in a cell that displays data, you have the option to print the contents of the window or simply close it.  If you press the print button on the bottom left hand side of the window, another window will pop up to confirm your choice to print in case you wish to cancel printing.  If you want to view the contents of adjacent windows you can use the buttons on the bottom left-hand side of the window to page up, down, left, or right. </t>
    </r>
    <r>
      <rPr>
        <b/>
        <sz val="12"/>
        <rFont val="Arial"/>
        <family val="2"/>
      </rPr>
      <t xml:space="preserve">Note: </t>
    </r>
    <r>
      <rPr>
        <i/>
        <sz val="12"/>
        <rFont val="Arial"/>
        <family val="2"/>
      </rPr>
      <t>If you close a cell you will have to click out, or select another cell, before you can view that cell again</t>
    </r>
    <r>
      <rPr>
        <sz val="12"/>
        <rFont val="Arial"/>
        <family val="2"/>
      </rPr>
      <t xml:space="preserve">. When they become available, additional information and URL hot-links will be provided to source documents (i.e., DoDI 5000.02, the Defense Acquisition Guide, MRL Deskbook, etc.) where more information may be found about the topic in the cell you are viewing.                                                                                                                                                                                                                                                                                         </t>
    </r>
  </si>
  <si>
    <r>
      <t xml:space="preserve">When specific cells in the main body of the MRL Matrix are selected, they will display a "Mega-Data Sheet" with the following general information:  First, the Thread designation (e.g., A1, B2, etc.) and MRL Number (1 through 10) will appear at the top, then the associated text (criteria) of the cell from the MRL Matrix will appear in the next block. These are for reference to let you know which cell you are viewing.  The main body of the Mega-Data Sheet contains the following information:                                                                                                                                                                                                                                                                               
</t>
    </r>
    <r>
      <rPr>
        <u/>
        <sz val="12"/>
        <rFont val="Arial"/>
        <family val="2"/>
      </rPr>
      <t>Purpose:</t>
    </r>
    <r>
      <rPr>
        <sz val="12"/>
        <rFont val="Arial"/>
        <family val="2"/>
      </rPr>
      <t xml:space="preserve">  The intent for doing the assessment for this particular sub-thread at this point in the life-cycle and the reason for doing the assessment of this particular thread at this point, i.e., what requirements/documents/procedures drive the assessment? 
</t>
    </r>
    <r>
      <rPr>
        <u/>
        <sz val="12"/>
        <rFont val="Arial"/>
        <family val="2"/>
      </rPr>
      <t>Sources of Information:</t>
    </r>
    <r>
      <rPr>
        <sz val="12"/>
        <rFont val="Arial"/>
        <family val="2"/>
      </rPr>
      <t xml:space="preserve"> This is where data can be collected for a particular MRL Assessment at that stage of the product life-cycle.
</t>
    </r>
    <r>
      <rPr>
        <u/>
        <sz val="12"/>
        <rFont val="Arial"/>
        <family val="2"/>
      </rPr>
      <t>Questions (also called "criteria"):</t>
    </r>
    <r>
      <rPr>
        <sz val="12"/>
        <rFont val="Arial"/>
        <family val="2"/>
      </rPr>
      <t xml:space="preserve"> These are directly derived from the text of the MRL Matrix from the latest revised Version 11.5 of the MRL Questionnaire.                                                                                                                                                                       </t>
    </r>
    <r>
      <rPr>
        <u/>
        <sz val="12"/>
        <rFont val="Arial"/>
        <family val="2"/>
      </rPr>
      <t>Additional Considerations:</t>
    </r>
    <r>
      <rPr>
        <sz val="12"/>
        <rFont val="Arial"/>
        <family val="2"/>
      </rPr>
      <t xml:space="preserve">  Sometimes from past experience, services or industry have optional questions they may want to ask for specific threads or sub-threads at specific times in the life-cycle.  If so, these will be included in the mega-data sheet. This part of the Users Guide may change significantly over time.  
</t>
    </r>
    <r>
      <rPr>
        <u/>
        <sz val="12"/>
        <rFont val="Arial"/>
        <family val="2"/>
      </rPr>
      <t>Lessons Learned:</t>
    </r>
    <r>
      <rPr>
        <sz val="12"/>
        <rFont val="Arial"/>
        <family val="2"/>
      </rPr>
      <t xml:space="preserve"> These are particular lessons derived from past experience of personnel doing risk assessments in this particular sub-thread at this specific point in the product life-cycle. These may also change as people gain more experience doing assessments of manufacturing risk and readiness.</t>
    </r>
  </si>
  <si>
    <r>
      <rPr>
        <b/>
        <sz val="12"/>
        <rFont val="Arial"/>
        <family val="2"/>
      </rPr>
      <t>NOTES:</t>
    </r>
    <r>
      <rPr>
        <sz val="12"/>
        <rFont val="Arial"/>
        <family val="2"/>
      </rPr>
      <t xml:space="preserve"> V11.3.13 and following fix bugs occurring when you run this application on MsExcel</t>
    </r>
    <r>
      <rPr>
        <vertAlign val="superscript"/>
        <sz val="12"/>
        <rFont val="Arial"/>
        <family val="2"/>
      </rPr>
      <t>TM</t>
    </r>
    <r>
      <rPr>
        <sz val="12"/>
        <rFont val="Arial"/>
        <family val="2"/>
      </rPr>
      <t xml:space="preserve"> 2013. When you open the MRL Users Guide Worksheet and click on a cell, you may see only the data from that cell displayed with the MRL Matrix blanked out in the background. This mode will enable you to view the entire data sheet and its control buttons. If you wish to view the matrix in the background, </t>
    </r>
    <r>
      <rPr>
        <b/>
        <sz val="12"/>
        <rFont val="Arial"/>
        <family val="2"/>
      </rPr>
      <t>uncheck</t>
    </r>
    <r>
      <rPr>
        <sz val="12"/>
        <rFont val="Arial"/>
        <family val="2"/>
      </rPr>
      <t xml:space="preserve"> the box at the top of the form that says, "View form as a tabbed page." If you do this, you may have to change your screen resolution to view the entire data sheet with its control buttons. If you wish to copy these instructions, you may find it easier to select each row of the worksheet separately and use the "copy" utility to copy it to an MsWord.doc.</t>
    </r>
  </si>
  <si>
    <r>
      <rPr>
        <b/>
        <sz val="12"/>
        <rFont val="Arial"/>
        <family val="2"/>
      </rPr>
      <t>NOTES:</t>
    </r>
    <r>
      <rPr>
        <sz val="12"/>
        <rFont val="Arial"/>
        <family val="2"/>
      </rPr>
      <t xml:space="preserve"> V.2016, added changes IAW with Criteria Matrix 2016, single and sole source definitions, and fixed close button issues.   Added horizontal-based questionnaire and pivot table version of MRL Questionnaire.  </t>
    </r>
  </si>
  <si>
    <t>CellRef</t>
  </si>
  <si>
    <t>Row</t>
  </si>
  <si>
    <t>MatrixText</t>
  </si>
  <si>
    <t>ReferenceText</t>
  </si>
  <si>
    <t>LinkText1</t>
  </si>
  <si>
    <t>LinkAddress1</t>
  </si>
  <si>
    <t>$A$1</t>
  </si>
  <si>
    <t>$B$1</t>
  </si>
  <si>
    <t>$C$1</t>
  </si>
  <si>
    <t>$D$1</t>
  </si>
  <si>
    <t>$E$1</t>
  </si>
  <si>
    <t>$F$1</t>
  </si>
  <si>
    <t>$G$1</t>
  </si>
  <si>
    <t>$H$1</t>
  </si>
  <si>
    <t>$I$1</t>
  </si>
  <si>
    <t>$J$1</t>
  </si>
  <si>
    <t>$K$1</t>
  </si>
  <si>
    <t>$L$1</t>
  </si>
  <si>
    <t>$A$2</t>
  </si>
  <si>
    <t>DoD Manufacturing Readiness Levels (MRLs)</t>
  </si>
  <si>
    <t>$B$2</t>
  </si>
  <si>
    <t>$C$2</t>
  </si>
  <si>
    <t>$D$2</t>
  </si>
  <si>
    <t>$E$2</t>
  </si>
  <si>
    <t>$F$2</t>
  </si>
  <si>
    <t>$G$2</t>
  </si>
  <si>
    <t>$H$2</t>
  </si>
  <si>
    <t>$I$2</t>
  </si>
  <si>
    <t>$J$2</t>
  </si>
  <si>
    <t>$K$2</t>
  </si>
  <si>
    <t>$L$2</t>
  </si>
  <si>
    <t>$A$3</t>
  </si>
  <si>
    <t>Acquisition Phase</t>
  </si>
  <si>
    <t>$B$3</t>
  </si>
  <si>
    <t>$C$3</t>
  </si>
  <si>
    <t>Pre Materiel Solution Analysis (Pre MSA)</t>
  </si>
  <si>
    <t>$D$3</t>
  </si>
  <si>
    <t>$E$3</t>
  </si>
  <si>
    <t>$F$3</t>
  </si>
  <si>
    <t xml:space="preserve">Materiel Solution Analysis (MSA)  </t>
  </si>
  <si>
    <t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t>
  </si>
  <si>
    <t>$G$3</t>
  </si>
  <si>
    <t>Technology Maturation and Risk Reduction (TMRR)</t>
  </si>
  <si>
    <t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t>
  </si>
  <si>
    <t>$H$3</t>
  </si>
  <si>
    <t>$I$3</t>
  </si>
  <si>
    <t>Engineering &amp; Mfg Development (EMD)</t>
  </si>
  <si>
    <t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t>
  </si>
  <si>
    <t>$J$3</t>
  </si>
  <si>
    <t>$K$3</t>
  </si>
  <si>
    <t>Low-Rate Initial Production (LRIP)</t>
  </si>
  <si>
    <t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t>
  </si>
  <si>
    <t>$L$3</t>
  </si>
  <si>
    <t>Full-Rate Production (FRP)</t>
  </si>
  <si>
    <t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t>
  </si>
  <si>
    <t>$A$4</t>
  </si>
  <si>
    <t>Technical Reviews</t>
  </si>
  <si>
    <t>$B$4</t>
  </si>
  <si>
    <t>$C$4</t>
  </si>
  <si>
    <t>$D$4</t>
  </si>
  <si>
    <t>$E$4</t>
  </si>
  <si>
    <t>$F$4</t>
  </si>
  <si>
    <t>ASR</t>
  </si>
  <si>
    <t>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t>
  </si>
  <si>
    <t>$G$4</t>
  </si>
  <si>
    <t>SRR/SFR</t>
  </si>
  <si>
    <t>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t>
  </si>
  <si>
    <t>$H$4</t>
  </si>
  <si>
    <t>PDR</t>
  </si>
  <si>
    <t>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t>
  </si>
  <si>
    <t>$I$4</t>
  </si>
  <si>
    <t>CDR</t>
  </si>
  <si>
    <t>$J$4</t>
  </si>
  <si>
    <t>PRR/SVR</t>
  </si>
  <si>
    <t>https://acc.dau.mil/CommunityBrowser.aspx?id=638321</t>
  </si>
  <si>
    <t>$K$4</t>
  </si>
  <si>
    <t>PCA</t>
  </si>
  <si>
    <t>$L$4</t>
  </si>
  <si>
    <t>$A$5</t>
  </si>
  <si>
    <t>Thread</t>
  </si>
  <si>
    <t>$B$5</t>
  </si>
  <si>
    <t>Sub-Thread</t>
  </si>
  <si>
    <t>$C$5</t>
  </si>
  <si>
    <t>MRL 1</t>
  </si>
  <si>
    <t>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t>
  </si>
  <si>
    <t>$D$5</t>
  </si>
  <si>
    <t>MRL 2</t>
  </si>
  <si>
    <t>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t>
  </si>
  <si>
    <t>$E$5</t>
  </si>
  <si>
    <t>MRL 3</t>
  </si>
  <si>
    <t>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t>
  </si>
  <si>
    <t>$F$5</t>
  </si>
  <si>
    <t>MRL 4</t>
  </si>
  <si>
    <t>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t>
  </si>
  <si>
    <t>$G$5</t>
  </si>
  <si>
    <t>MRL 5</t>
  </si>
  <si>
    <t>$H$5</t>
  </si>
  <si>
    <t>MRL 6</t>
  </si>
  <si>
    <t>$I$5</t>
  </si>
  <si>
    <t>MRL 7</t>
  </si>
  <si>
    <t>$J$5</t>
  </si>
  <si>
    <t>MRL 8</t>
  </si>
  <si>
    <t>$K$5</t>
  </si>
  <si>
    <t>MRL 9</t>
  </si>
  <si>
    <t>$L$5</t>
  </si>
  <si>
    <t>MRL 10</t>
  </si>
  <si>
    <t>$A$6</t>
  </si>
  <si>
    <t>$B$6</t>
  </si>
  <si>
    <t xml:space="preserve">Technology
Maturity </t>
  </si>
  <si>
    <t>$C$6</t>
  </si>
  <si>
    <t>Should be assessed at TRL 1.</t>
  </si>
  <si>
    <t>$D$6</t>
  </si>
  <si>
    <t>Should be assessed at TRL 2.</t>
  </si>
  <si>
    <t>$E$6</t>
  </si>
  <si>
    <t>Should be assessed at TRL 3.</t>
  </si>
  <si>
    <t>$F$6</t>
  </si>
  <si>
    <t>Should be assessed at TRL 4.</t>
  </si>
  <si>
    <t>$G$6</t>
  </si>
  <si>
    <t>Should be assessed at TRL 5.</t>
  </si>
  <si>
    <t>$H$6</t>
  </si>
  <si>
    <t>Should be assessed at TRL 6.</t>
  </si>
  <si>
    <t>$I$6</t>
  </si>
  <si>
    <t>Should be assessed at TRL 7</t>
  </si>
  <si>
    <t>$J$6</t>
  </si>
  <si>
    <t>$K$6</t>
  </si>
  <si>
    <t>$L$6</t>
  </si>
  <si>
    <t>Should be assessed at TRL 9.</t>
  </si>
  <si>
    <t>$A$7</t>
  </si>
  <si>
    <t>A- Technology and Industrial Base</t>
  </si>
  <si>
    <t>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t>
  </si>
  <si>
    <t>$B$7</t>
  </si>
  <si>
    <t>A.1 - Industrial base</t>
  </si>
  <si>
    <t>$C$7</t>
  </si>
  <si>
    <t>$D$7</t>
  </si>
  <si>
    <t>$E$7</t>
  </si>
  <si>
    <t>$F$7</t>
  </si>
  <si>
    <t>$G$7</t>
  </si>
  <si>
    <t>$H$7</t>
  </si>
  <si>
    <t>$I$7</t>
  </si>
  <si>
    <t>$J$7</t>
  </si>
  <si>
    <t>$K$7</t>
  </si>
  <si>
    <t>$L$7</t>
  </si>
  <si>
    <t>$A$8</t>
  </si>
  <si>
    <t>$B$8</t>
  </si>
  <si>
    <t>A.2 - Manufacturing Technology Development</t>
  </si>
  <si>
    <t>$C$8</t>
  </si>
  <si>
    <t>$D$8</t>
  </si>
  <si>
    <t>$E$8</t>
  </si>
  <si>
    <t>$F$8</t>
  </si>
  <si>
    <t>$G$8</t>
  </si>
  <si>
    <t>$H$8</t>
  </si>
  <si>
    <t>$I$8</t>
  </si>
  <si>
    <t>$J$8</t>
  </si>
  <si>
    <t>$K$8</t>
  </si>
  <si>
    <t>Manufacturing technology process improvements efforts initiated for FRP.</t>
  </si>
  <si>
    <t>$L$8</t>
  </si>
  <si>
    <t xml:space="preserve">Manufacturing technology continuous process improvements ongoing. </t>
  </si>
  <si>
    <t>$A$9</t>
  </si>
  <si>
    <t xml:space="preserve">B - Design   </t>
  </si>
  <si>
    <t>Design: Requires an understanding of the maturity and stability of the evolving system design and any related impact on manufacturing readiness.
Design includes producibility and maturity.</t>
  </si>
  <si>
    <t>$B$9</t>
  </si>
  <si>
    <t>B.1 - Producibility Program</t>
  </si>
  <si>
    <t>$C$9</t>
  </si>
  <si>
    <t>$D$9</t>
  </si>
  <si>
    <t>$E$9</t>
  </si>
  <si>
    <t>$F$9</t>
  </si>
  <si>
    <t>$G$9</t>
  </si>
  <si>
    <t>$H$9</t>
  </si>
  <si>
    <t>$I$9</t>
  </si>
  <si>
    <t>$J$9</t>
  </si>
  <si>
    <t>$K$9</t>
  </si>
  <si>
    <t>$L$9</t>
  </si>
  <si>
    <t xml:space="preserve">Design producibility improvements demonstrated in FRP.  Process producibility improvements ongoing.  All modifications, upgrades, Diminishing Mfg Sources &amp; Material Shortages (DMSMS) and other changes assessed for producibility.  </t>
  </si>
  <si>
    <t>$A$10</t>
  </si>
  <si>
    <t>$B$10</t>
  </si>
  <si>
    <t>B.2 - Design Maturity</t>
  </si>
  <si>
    <t>$C$10</t>
  </si>
  <si>
    <t>$D$10</t>
  </si>
  <si>
    <t>$E$10</t>
  </si>
  <si>
    <t>$F$10</t>
  </si>
  <si>
    <t>$G$10</t>
  </si>
  <si>
    <t>$H$10</t>
  </si>
  <si>
    <t>$I$10</t>
  </si>
  <si>
    <t>$J$10</t>
  </si>
  <si>
    <t>$K$10</t>
  </si>
  <si>
    <t>$L$10</t>
  </si>
  <si>
    <t>$A$11</t>
  </si>
  <si>
    <t>C - Cost &amp; Funding</t>
  </si>
  <si>
    <t>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t>
  </si>
  <si>
    <t>$B$11</t>
  </si>
  <si>
    <t>C.1 - Production Cost Knowledge (Cost modeling)</t>
  </si>
  <si>
    <t>$C$11</t>
  </si>
  <si>
    <t>$D$11</t>
  </si>
  <si>
    <t>Cost model approach defined.</t>
  </si>
  <si>
    <t>$E$11</t>
  </si>
  <si>
    <t>$F$11</t>
  </si>
  <si>
    <t>$G$11</t>
  </si>
  <si>
    <t>$H$11</t>
  </si>
  <si>
    <t>$I$11</t>
  </si>
  <si>
    <t>Cost model updated with the results of systems/sub-systems produced in a production representative environment, production plant layout and design, and  obsolescence solutions.</t>
  </si>
  <si>
    <t>$J$11</t>
  </si>
  <si>
    <t>$K$11</t>
  </si>
  <si>
    <t xml:space="preserve">FRP cost model updated with result of LRIP build. </t>
  </si>
  <si>
    <t>$L$11</t>
  </si>
  <si>
    <t xml:space="preserve">Cost model validated against actual FRP cost. </t>
  </si>
  <si>
    <t>$A$12</t>
  </si>
  <si>
    <t>$B$12</t>
  </si>
  <si>
    <t>C.2 - Cost Analysis</t>
  </si>
  <si>
    <t>$C$12</t>
  </si>
  <si>
    <t>$D$12</t>
  </si>
  <si>
    <t>$E$12</t>
  </si>
  <si>
    <t>$F$12</t>
  </si>
  <si>
    <t>$G$12</t>
  </si>
  <si>
    <t>$H$12</t>
  </si>
  <si>
    <t>$I$12</t>
  </si>
  <si>
    <t>$J$12</t>
  </si>
  <si>
    <t>$K$12</t>
  </si>
  <si>
    <t>$L$12</t>
  </si>
  <si>
    <t>FRP cost goals met.  Cost reduction initiatives ongoing.</t>
  </si>
  <si>
    <t>$A$13</t>
  </si>
  <si>
    <t>$B$13</t>
  </si>
  <si>
    <t>C.3 - Manufacturing Investment Budget</t>
  </si>
  <si>
    <t>$C$13</t>
  </si>
  <si>
    <t>$D$13</t>
  </si>
  <si>
    <t>$E$13</t>
  </si>
  <si>
    <t>$F$13</t>
  </si>
  <si>
    <t>$G$13</t>
  </si>
  <si>
    <t>$H$13</t>
  </si>
  <si>
    <t>$I$13</t>
  </si>
  <si>
    <t>$J$13</t>
  </si>
  <si>
    <t>$K$13</t>
  </si>
  <si>
    <t>$L$13</t>
  </si>
  <si>
    <t xml:space="preserve">Production budgets sufficient for production at required rates and schedule to support funded program. </t>
  </si>
  <si>
    <t>$A$14</t>
  </si>
  <si>
    <t>D - Materials (Raw Materials, Components, Sub-assemblies and Sub-systems)</t>
  </si>
  <si>
    <t>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t>
  </si>
  <si>
    <t>$B$14</t>
  </si>
  <si>
    <t>D.1 - Maturity</t>
  </si>
  <si>
    <t>$C$14</t>
  </si>
  <si>
    <t>$D$14</t>
  </si>
  <si>
    <t>$E$14</t>
  </si>
  <si>
    <t>$F$14</t>
  </si>
  <si>
    <t>$G$14</t>
  </si>
  <si>
    <t>$H$14</t>
  </si>
  <si>
    <t>$I$14</t>
  </si>
  <si>
    <t>Material maturity sufficient for pilot line build. Material specifications approved.</t>
  </si>
  <si>
    <t>$J$14</t>
  </si>
  <si>
    <t>$K$14</t>
  </si>
  <si>
    <t>Material is controlled to specification in LRIP.   Materials proven and validated as adequate to support FRP.</t>
  </si>
  <si>
    <t>$L$14</t>
  </si>
  <si>
    <t>$A$15</t>
  </si>
  <si>
    <t>$B$15</t>
  </si>
  <si>
    <t>D.2 - Availability</t>
  </si>
  <si>
    <t>$C$15</t>
  </si>
  <si>
    <t>$D$15</t>
  </si>
  <si>
    <t>$E$15</t>
  </si>
  <si>
    <t>$F$15</t>
  </si>
  <si>
    <t>$G$15</t>
  </si>
  <si>
    <t>$H$15</t>
  </si>
  <si>
    <t>$I$15</t>
  </si>
  <si>
    <t>$J$15</t>
  </si>
  <si>
    <t>$K$15</t>
  </si>
  <si>
    <t>$L$15</t>
  </si>
  <si>
    <t>$A$16</t>
  </si>
  <si>
    <t>$B$16</t>
  </si>
  <si>
    <t>D.3 - Supply Chain Management</t>
  </si>
  <si>
    <t>$C$16</t>
  </si>
  <si>
    <t>$D$16</t>
  </si>
  <si>
    <t>$E$16</t>
  </si>
  <si>
    <t>$F$16</t>
  </si>
  <si>
    <t>$G$16</t>
  </si>
  <si>
    <t>$H$16</t>
  </si>
  <si>
    <t>$I$16</t>
  </si>
  <si>
    <t>$J$16</t>
  </si>
  <si>
    <t>$K$16</t>
  </si>
  <si>
    <t>Long term agreements in place where practical. Prime's supplier management metrics (including thresholds and goals) in place and used to manage risks. Predictive indicators to manage suppliers in place. Supply chain is stable and adequate to support FRP.</t>
  </si>
  <si>
    <t>$L$16</t>
  </si>
  <si>
    <t>$A$17</t>
  </si>
  <si>
    <t>$B$17</t>
  </si>
  <si>
    <t xml:space="preserve">D.4 - Special Handling (i.e., GFP, shelf life, security, HAZMAT, storage environment, etc.) </t>
  </si>
  <si>
    <t>$C$17</t>
  </si>
  <si>
    <t>$D$17</t>
  </si>
  <si>
    <t>$E$17</t>
  </si>
  <si>
    <t>$F$17</t>
  </si>
  <si>
    <t>$G$17</t>
  </si>
  <si>
    <t>$H$17</t>
  </si>
  <si>
    <t>$I$17</t>
  </si>
  <si>
    <t>$J$17</t>
  </si>
  <si>
    <t>$K$17</t>
  </si>
  <si>
    <t>$L$17</t>
  </si>
  <si>
    <t>$A$18</t>
  </si>
  <si>
    <t>E - -Process Capability &amp; Control</t>
  </si>
  <si>
    <t>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t>
  </si>
  <si>
    <t>$B$18</t>
  </si>
  <si>
    <t>E.1 - Modeling &amp; Simulation (Product &amp; Process)</t>
  </si>
  <si>
    <t>$C$18</t>
  </si>
  <si>
    <t>$D$18</t>
  </si>
  <si>
    <t>$E$18</t>
  </si>
  <si>
    <t>$F$18</t>
  </si>
  <si>
    <t>$G$18</t>
  </si>
  <si>
    <t>$H$18</t>
  </si>
  <si>
    <t>$I$18</t>
  </si>
  <si>
    <t>$J$18</t>
  </si>
  <si>
    <t>$K$18</t>
  </si>
  <si>
    <t>$L$18</t>
  </si>
  <si>
    <t>$A$19</t>
  </si>
  <si>
    <t>$B$19</t>
  </si>
  <si>
    <t>E.2 - Manufacturing Process Maturity</t>
  </si>
  <si>
    <t>$C$19</t>
  </si>
  <si>
    <t>$D$19</t>
  </si>
  <si>
    <t>$E$19</t>
  </si>
  <si>
    <t>$F$19</t>
  </si>
  <si>
    <t>$G$19</t>
  </si>
  <si>
    <t>$H$19</t>
  </si>
  <si>
    <t>$I$19</t>
  </si>
  <si>
    <t>$J$19</t>
  </si>
  <si>
    <t>$K$19</t>
  </si>
  <si>
    <t xml:space="preserve">Manufacturing processes are stable, adequately controlled, capable, and have achieved program LRIP objectives.  Variability experiments conducted to show FRP impact and potential for continuous improvement. </t>
  </si>
  <si>
    <t>$L$19</t>
  </si>
  <si>
    <t xml:space="preserve">Manufacturing processes are stable, adequately controlled, capable, and have achieved program FRP objectives.  </t>
  </si>
  <si>
    <t>$A$20</t>
  </si>
  <si>
    <t>$B$20</t>
  </si>
  <si>
    <t>E.3 - Process Yields and Rates</t>
  </si>
  <si>
    <t>$C$20</t>
  </si>
  <si>
    <t>$D$20</t>
  </si>
  <si>
    <t>$E$20</t>
  </si>
  <si>
    <t>Initial estimates of yields and rates based on experiments or state of the art.</t>
  </si>
  <si>
    <t>$F$20</t>
  </si>
  <si>
    <t>$G$20</t>
  </si>
  <si>
    <t xml:space="preserve">Target yields and rates established for pilot line, LRIP, and FRP. Yield and rate issues identified. Improvement plans developed/initiated. </t>
  </si>
  <si>
    <t>$H$20</t>
  </si>
  <si>
    <t>Yields and rates from production relevant environment evaluated against targets and the results feed improvement plan.</t>
  </si>
  <si>
    <t>$I$20</t>
  </si>
  <si>
    <t>Yields and rates from production representative environment evaluated against pilot line targets and the results feed improvement plans.</t>
  </si>
  <si>
    <t>$J$20</t>
  </si>
  <si>
    <t>$K$20</t>
  </si>
  <si>
    <t>$L$20</t>
  </si>
  <si>
    <t>$A$21</t>
  </si>
  <si>
    <t>F - Quality Management</t>
  </si>
  <si>
    <t>Quality Management: Requires an analysis of the risks and management efforts to control quality, and foster continuous improvement at prime and suppliers.
Quality Management includes supplier quality.</t>
  </si>
  <si>
    <t>$B$21</t>
  </si>
  <si>
    <t>F.1 - Quality Management.</t>
  </si>
  <si>
    <t>$C$21</t>
  </si>
  <si>
    <t>$D$21</t>
  </si>
  <si>
    <t>$E$21</t>
  </si>
  <si>
    <t>$F$21</t>
  </si>
  <si>
    <t>$G$21</t>
  </si>
  <si>
    <t>$H$21</t>
  </si>
  <si>
    <t>$I$21</t>
  </si>
  <si>
    <t>$J$21</t>
  </si>
  <si>
    <t>$K$21</t>
  </si>
  <si>
    <t>$L$21</t>
  </si>
  <si>
    <t xml:space="preserve">Quality targets verified on FRP line. Continuous quality improvement on-going.  Statistical controls applied where appropriate.  </t>
  </si>
  <si>
    <t>$A$22</t>
  </si>
  <si>
    <t>$B$22</t>
  </si>
  <si>
    <t>F.2 - Product Quality</t>
  </si>
  <si>
    <t>$C$22</t>
  </si>
  <si>
    <t>$D$22</t>
  </si>
  <si>
    <t>$E$22</t>
  </si>
  <si>
    <t>$F$22</t>
  </si>
  <si>
    <t>$G$22</t>
  </si>
  <si>
    <t xml:space="preserve">Roles and responsibilities identified for acceptance test procedures, in-process and final inspections, and statistical process controls for prototype units. </t>
  </si>
  <si>
    <t>$H$22</t>
  </si>
  <si>
    <t>$I$22</t>
  </si>
  <si>
    <t>$J$22</t>
  </si>
  <si>
    <t>$K$22</t>
  </si>
  <si>
    <t>$L$22</t>
  </si>
  <si>
    <t>$A$23</t>
  </si>
  <si>
    <t>$B$23</t>
  </si>
  <si>
    <t>F.3 - Supplier Quality Management</t>
  </si>
  <si>
    <t>$C$23</t>
  </si>
  <si>
    <t>$D$23</t>
  </si>
  <si>
    <t>$E$23</t>
  </si>
  <si>
    <t>$F$23</t>
  </si>
  <si>
    <t>$G$23</t>
  </si>
  <si>
    <t>$H$23</t>
  </si>
  <si>
    <t>$I$23</t>
  </si>
  <si>
    <t>$J$23</t>
  </si>
  <si>
    <t>$K$23</t>
  </si>
  <si>
    <t>$L$23</t>
  </si>
  <si>
    <t>$A$24</t>
  </si>
  <si>
    <t>G - Mfg Workforce (Engineering &amp; Production)</t>
  </si>
  <si>
    <t>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t>
  </si>
  <si>
    <t>$B$24</t>
  </si>
  <si>
    <t>G.1 - Mfg Workforce (Engineering &amp; Production)</t>
  </si>
  <si>
    <t>$C$24</t>
  </si>
  <si>
    <t>$D$24</t>
  </si>
  <si>
    <t>$E$24</t>
  </si>
  <si>
    <t>$F$24</t>
  </si>
  <si>
    <t>$G$24</t>
  </si>
  <si>
    <t xml:space="preserve">Skill sets identified and plans developed to meet prototype and production needs. Special skills certification and training requirements established.  </t>
  </si>
  <si>
    <t>$H$24</t>
  </si>
  <si>
    <t>$I$24</t>
  </si>
  <si>
    <t>$J$24</t>
  </si>
  <si>
    <t>$K$24</t>
  </si>
  <si>
    <t>$L$24</t>
  </si>
  <si>
    <t>$A$25</t>
  </si>
  <si>
    <t>H - Facilities</t>
  </si>
  <si>
    <t>Facilities: Requires an analysis of the capabilities and capacity of key manufacturing facilities (prime, subcontractor, supplier, vendor, and maintenance/repair).</t>
  </si>
  <si>
    <t>$B$25</t>
  </si>
  <si>
    <t>H.1 - Tooling / Special Test and Inspection Equipment (STE/SIE)</t>
  </si>
  <si>
    <t>$C$25</t>
  </si>
  <si>
    <t>$D$25</t>
  </si>
  <si>
    <t>$E$25</t>
  </si>
  <si>
    <t>$F$25</t>
  </si>
  <si>
    <t>$G$25</t>
  </si>
  <si>
    <t>$H$25</t>
  </si>
  <si>
    <t>$I$25</t>
  </si>
  <si>
    <t>$J$25</t>
  </si>
  <si>
    <t>Tooling, test and inspection equipment proven on pilot line and additional requirements identified for LRIP.  STE/SIE validated as part of pilot line validation IAW validation plans.  Mfg equipment maintenance demonstrated on pilot line.</t>
  </si>
  <si>
    <t>$K$25</t>
  </si>
  <si>
    <t>$L$25</t>
  </si>
  <si>
    <t>$A$26</t>
  </si>
  <si>
    <t>$B$26</t>
  </si>
  <si>
    <t>H.2 - Facilities</t>
  </si>
  <si>
    <t>$C$26</t>
  </si>
  <si>
    <t>$D$26</t>
  </si>
  <si>
    <t>$E$26</t>
  </si>
  <si>
    <t>$F$26</t>
  </si>
  <si>
    <t>$G$26</t>
  </si>
  <si>
    <t>$H$26</t>
  </si>
  <si>
    <t>$I$26</t>
  </si>
  <si>
    <t>$J$26</t>
  </si>
  <si>
    <t>$K$26</t>
  </si>
  <si>
    <t>$L$26</t>
  </si>
  <si>
    <t>$A$27</t>
  </si>
  <si>
    <t>I - Mfg Management</t>
  </si>
  <si>
    <t xml:space="preserve">Manufacturing Management: Requires an analysis of the orchestration of all elements needed to translate the design into an integrated and fielded system (meeting Program goals for affordability and availability).
</t>
  </si>
  <si>
    <t>$B$27</t>
  </si>
  <si>
    <t>I.1 - Mfg Planning &amp; Scheduling</t>
  </si>
  <si>
    <t>$C$27</t>
  </si>
  <si>
    <t>$D$27</t>
  </si>
  <si>
    <t>$E$27</t>
  </si>
  <si>
    <t>$F$27</t>
  </si>
  <si>
    <t>$G$27</t>
  </si>
  <si>
    <t xml:space="preserve">Mfg. strategy refined based upon preferred concept.  Prototype schedule risk mitigation efforts initiated.  </t>
  </si>
  <si>
    <t>$H$27</t>
  </si>
  <si>
    <t>$I$27</t>
  </si>
  <si>
    <t>$J$27</t>
  </si>
  <si>
    <t>$K$27</t>
  </si>
  <si>
    <t>$L$27</t>
  </si>
  <si>
    <t>$A$28</t>
  </si>
  <si>
    <t>$B$28</t>
  </si>
  <si>
    <t xml:space="preserve">I.2 - Materials Planning  </t>
  </si>
  <si>
    <t>$C$28</t>
  </si>
  <si>
    <t>$D$28</t>
  </si>
  <si>
    <t>$E$28</t>
  </si>
  <si>
    <t>$F$28</t>
  </si>
  <si>
    <t>$G$28</t>
  </si>
  <si>
    <t>$H$28</t>
  </si>
  <si>
    <t>$I$28</t>
  </si>
  <si>
    <t xml:space="preserve">Make/Buy decisions and BOM complete for pilot line build.  Material planning systems in place for pilot line build. </t>
  </si>
  <si>
    <t>$J$28</t>
  </si>
  <si>
    <t>Make/Buy decisions and BOM complete to support LRIP.  Material planning systems proven on pilot line for LRIP build.</t>
  </si>
  <si>
    <t>$K$28</t>
  </si>
  <si>
    <t>Make/Buy decisions and BOM complete to support FRP.  Material planning systems proven in LRIP and sufficient for FRP.</t>
  </si>
  <si>
    <t>$L$28</t>
  </si>
  <si>
    <t xml:space="preserve">Material planning systems validated on FRP build. </t>
  </si>
  <si>
    <t>MilestoneA</t>
  </si>
  <si>
    <t>MilestoneB</t>
  </si>
  <si>
    <t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t>
  </si>
  <si>
    <t>MilestoneC</t>
  </si>
  <si>
    <t>MilestoneFRP</t>
  </si>
  <si>
    <t>Make use of named ranges and the vlookup function.</t>
  </si>
  <si>
    <t>Get and Set values using subs and functions in modDatabase.</t>
  </si>
  <si>
    <t>Set these</t>
  </si>
  <si>
    <t>Get these</t>
  </si>
  <si>
    <t>Used to set control sources</t>
  </si>
  <si>
    <t>JTRecordRef</t>
  </si>
  <si>
    <t>JTMatrixText</t>
  </si>
  <si>
    <t>JTReferenceText</t>
  </si>
  <si>
    <t>JTLink1Text</t>
  </si>
  <si>
    <t>JTLink1Address</t>
  </si>
  <si>
    <t>JTRefRow</t>
  </si>
  <si>
    <t>JTTechnologyAreaRef</t>
  </si>
  <si>
    <t>JTTechnologyArea</t>
  </si>
  <si>
    <t>JTMaturityLevelRef</t>
  </si>
  <si>
    <t>JTMaturityLevel</t>
  </si>
  <si>
    <t>Required manufacturing technology development efforts ...</t>
  </si>
  <si>
    <t>Manufacturing technology efforts continuing.  ...</t>
  </si>
  <si>
    <t>Manufacturing technology process improvements efforts ...</t>
  </si>
  <si>
    <t>Manufacturing technology continuous process improvements ...</t>
  </si>
  <si>
    <t>Producibility and manufacturability assessments of ...</t>
  </si>
  <si>
    <t>Producibility assessments and producibility trade ...</t>
  </si>
  <si>
    <t>Detailed producibility trade studies using ...</t>
  </si>
  <si>
    <t>Producibility improvements implemented on system. ...</t>
  </si>
  <si>
    <t>Prior producibility improvements analyzed for ...</t>
  </si>
  <si>
    <t>Design producibility improvements demonstrated in ...</t>
  </si>
  <si>
    <t>Detailed design of product features ...</t>
  </si>
  <si>
    <t>Major product design features and ...</t>
  </si>
  <si>
    <t>Product design is stable.  ...</t>
  </si>
  <si>
    <t>Prototype components produced in a ...</t>
  </si>
  <si>
    <t>Cost model updated with the ...</t>
  </si>
  <si>
    <t>FRP cost model updated with ...</t>
  </si>
  <si>
    <t>Cost model validated against actual ...</t>
  </si>
  <si>
    <t>Costs analyzed using prototype component ...</t>
  </si>
  <si>
    <t>Costs analyzed using prototype system/sub-system ...</t>
  </si>
  <si>
    <t>Manufacturing costs rolled up to ...</t>
  </si>
  <si>
    <t>Costs analyzed using pilot line ...</t>
  </si>
  <si>
    <t>LRIP cost goals met and ...</t>
  </si>
  <si>
    <t>FRP cost goals met.  ...</t>
  </si>
  <si>
    <t>Program/projects have reasonable budget estimates ...</t>
  </si>
  <si>
    <t>Program has updated budget estimate ...</t>
  </si>
  <si>
    <t>Program has reasonable budget estimate ...</t>
  </si>
  <si>
    <t>Production budgets sufficient for production ...</t>
  </si>
  <si>
    <t>Material maturity verified through technology ...</t>
  </si>
  <si>
    <t>Material maturity sufficient for pilot ...</t>
  </si>
  <si>
    <t>Long lead procurement initiated for ...</t>
  </si>
  <si>
    <t>Effective supply chain management processes ...</t>
  </si>
  <si>
    <t>Assessment of critical second and ...</t>
  </si>
  <si>
    <t>Long term agreements in place ...</t>
  </si>
  <si>
    <t>Initial evaluation of potential regulatory ...</t>
  </si>
  <si>
    <t>Manufacturing processes demonstrated in production ...</t>
  </si>
  <si>
    <t>Manufacturing processes demonstrated in a ...</t>
  </si>
  <si>
    <t>Manufacturing processes are stable, adequately ...</t>
  </si>
  <si>
    <t>Initial estimates of yields and ...</t>
  </si>
  <si>
    <t>Target yields and rates established ...</t>
  </si>
  <si>
    <t>Yields and rates from production ...</t>
  </si>
  <si>
    <t>Pilot line targets achieved. Yields ...</t>
  </si>
  <si>
    <t>LRIP yield and rate targets ...</t>
  </si>
  <si>
    <t>Quality targets verified on LRIP ...</t>
  </si>
  <si>
    <t>Quality targets verified on FRP ...</t>
  </si>
  <si>
    <t>Roles and responsibilities identified for ...</t>
  </si>
  <si>
    <t>Data from LRIP demonstrates production ...</t>
  </si>
  <si>
    <t>Supplier quality data reflects adequate ...</t>
  </si>
  <si>
    <t>Skill sets identified and plans ...</t>
  </si>
  <si>
    <t>FRP personnel requirements met.  ...</t>
  </si>
  <si>
    <t>Prototype tooling and STE/SIE concepts ...</t>
  </si>
  <si>
    <t>Tooling, test and inspection equipment ...</t>
  </si>
  <si>
    <t>All tooling, test and inspection ...</t>
  </si>
  <si>
    <t>Proven tooling, test and inspection ...</t>
  </si>
  <si>
    <t>Manufacturing facilities identified and plans ...</t>
  </si>
  <si>
    <t>Production facilities in place and ...</t>
  </si>
  <si>
    <t>Make/Buy decisions and BOM complete ...</t>
  </si>
  <si>
    <t>Material planning systems validated on ...</t>
  </si>
  <si>
    <t>AoA</t>
  </si>
  <si>
    <t>Analysis of Alternatives</t>
  </si>
  <si>
    <t>AS</t>
  </si>
  <si>
    <t>BOM</t>
  </si>
  <si>
    <t>Critical Design Review</t>
  </si>
  <si>
    <t>Critical Safety Item</t>
  </si>
  <si>
    <t>DMSMS</t>
  </si>
  <si>
    <t>EMD</t>
  </si>
  <si>
    <t>FRP</t>
  </si>
  <si>
    <t>GFP</t>
  </si>
  <si>
    <t>Government Furnished Property</t>
  </si>
  <si>
    <t>IMP</t>
  </si>
  <si>
    <t>Integrated Master Plan</t>
  </si>
  <si>
    <t>IMS</t>
  </si>
  <si>
    <t>Integrated Master Schedule</t>
  </si>
  <si>
    <t>KC</t>
  </si>
  <si>
    <t>Key Characteristic</t>
  </si>
  <si>
    <t>KPP</t>
  </si>
  <si>
    <t>Key Performance Parameter</t>
  </si>
  <si>
    <t>Line of Balance</t>
  </si>
  <si>
    <t>LRIP</t>
  </si>
  <si>
    <t>Manufacturing</t>
  </si>
  <si>
    <t>MRL</t>
  </si>
  <si>
    <t>Manufacturing Readiness Level</t>
  </si>
  <si>
    <t>MSA</t>
  </si>
  <si>
    <t>O&amp;S</t>
  </si>
  <si>
    <t>Preliminary Design Review</t>
  </si>
  <si>
    <t>PRR</t>
  </si>
  <si>
    <t>Production Readiness Review</t>
  </si>
  <si>
    <t>QMS</t>
  </si>
  <si>
    <t>Quality Management System</t>
  </si>
  <si>
    <t>SEP</t>
  </si>
  <si>
    <t>SFR</t>
  </si>
  <si>
    <t>SIE</t>
  </si>
  <si>
    <t>Special Inspection Equipment</t>
  </si>
  <si>
    <t>SPC</t>
  </si>
  <si>
    <t>Statistical Process Control</t>
  </si>
  <si>
    <t>SRR</t>
  </si>
  <si>
    <t>System Requirements Review</t>
  </si>
  <si>
    <t>STE</t>
  </si>
  <si>
    <t>Special Test Equipment</t>
  </si>
  <si>
    <t>SVR</t>
  </si>
  <si>
    <t>System Verification Review</t>
  </si>
  <si>
    <t>Variability Reduction</t>
  </si>
  <si>
    <t>WIP</t>
  </si>
  <si>
    <t>MRL FILTER</t>
  </si>
  <si>
    <t>Sub</t>
  </si>
  <si>
    <t>Question</t>
  </si>
  <si>
    <t>Evidence</t>
  </si>
  <si>
    <t>Meets Criteria</t>
  </si>
  <si>
    <t>A - Technology &amp; Industrial Base</t>
  </si>
  <si>
    <t>A.0 - Technology Maturity</t>
  </si>
  <si>
    <t>Is the Technology Readiness at TRL 1 or greater?</t>
  </si>
  <si>
    <t>Is the Technology Readiness at TRL 2 or greater?</t>
  </si>
  <si>
    <t>Is the Technology Readiness at TRL 3 or greater?</t>
  </si>
  <si>
    <t>Is the Technology Readiness at TRL 4 or greater?</t>
  </si>
  <si>
    <t>Is the Technology Readiness at TRL 5 or greater?</t>
  </si>
  <si>
    <t>Is the Technology Readiness at TRL 6 or greater?</t>
  </si>
  <si>
    <t>Is the Technology Readiness at TRL 7 or 8?</t>
  </si>
  <si>
    <t>Is the Technology Readiness at TRL 8 or 9?</t>
  </si>
  <si>
    <t>Is the Technology Readiness at TRL 9?</t>
  </si>
  <si>
    <t>A.1 - Technology Transition to Production</t>
  </si>
  <si>
    <t>Have potential manufacturing sources been identified for technology needs (Understand state of the art)?</t>
  </si>
  <si>
    <t>Have industrial base capabilities and gaps/risks been identified for key technologies, components, and/or key processes?</t>
  </si>
  <si>
    <t>Has the industrial base capabilities assessment been initiated to identify potential manufacturing sources to produce the required capability?</t>
  </si>
  <si>
    <t xml:space="preserve">Have sole/single/foreign source vendors and vendors of technologies with potential obsolescence issues been identified? </t>
  </si>
  <si>
    <t>Has planning begun to minimize the risks associated with sole/single/foreign source vendors?</t>
  </si>
  <si>
    <t>Has an industrial base capabilities assessment for MS B been completed?</t>
  </si>
  <si>
    <t>Is the industrial capability in place to support the manufacturing of development articles?</t>
  </si>
  <si>
    <t>Are the plans to minimize sole/single/foreign sources and obsolescence issues complete?</t>
  </si>
  <si>
    <t>Has the need for sole/single/foreign sources been justified?</t>
  </si>
  <si>
    <t>Have potential alternative sources been identified?</t>
  </si>
  <si>
    <t>Has the industrial capability to support production been analyzed?</t>
  </si>
  <si>
    <t>Is the stability of all sole/single/foreign sources and obsolescence issues being assessed/monitored?</t>
  </si>
  <si>
    <t>Are the necessary alternates to sole/single/foreign sources being developed?</t>
  </si>
  <si>
    <t>Has the industrial base capability assessment for Milestone C been completed?</t>
  </si>
  <si>
    <t>Is the industrial capability in place to support Low Rate Initial Production (LRIP)?</t>
  </si>
  <si>
    <t>Are all necessary sources available including multi-sourcing where cost-effective or necessary to mitigate risk?</t>
  </si>
  <si>
    <t>Is the industrial capability assessment for FRP complete?</t>
  </si>
  <si>
    <t>Is the Industrial capability in place to support the start of FRP?</t>
  </si>
  <si>
    <t>Does the Industrial Capability support FRP</t>
  </si>
  <si>
    <t>Has the industrial capability been assessed to support modifications, upgrades, surge, and other potential manufacturing requirements?</t>
  </si>
  <si>
    <t>Have new manufacturing concepts and potential solutions been identified?</t>
  </si>
  <si>
    <t>Have manufacturing technology concepts been identified through experiments/models?</t>
  </si>
  <si>
    <t>Have pertinent Manufacturing Science (MS) and Advanced Manufacturing Technology requirements been identified?</t>
  </si>
  <si>
    <t>Have the required manufacturing technology development efforts been initiated as applicable?</t>
  </si>
  <si>
    <t>Are the necessary manufacturing technology development efforts continuing?</t>
  </si>
  <si>
    <t>Have the required manufacturing technology development solutions been demonstrated in a production relevant environment?</t>
  </si>
  <si>
    <t>Are the necessary manufacturing technology development efforts still continuing?</t>
  </si>
  <si>
    <t>Have the required manufacturing science and manufacturing technology development solutions been demonstrated in a production representative environment?</t>
  </si>
  <si>
    <t>Are the primary manufacturing technology efforts concluding and some improvement efforts continuing?</t>
  </si>
  <si>
    <t>Have the required manufacturing technology development solutions been validated on a pilot line?</t>
  </si>
  <si>
    <t>Have the required manufacturing technology process improvement efforts been initiated for Full Rate Production (FRP)?</t>
  </si>
  <si>
    <t>Are manufacturing technology continuous process improvements ongoing?</t>
  </si>
  <si>
    <t>B - Design</t>
  </si>
  <si>
    <t>Have relevant materials/processes been evaluated for manufacturability using experiments/models?</t>
  </si>
  <si>
    <t>Are initial producibility and manufacturability assessments of preferred systems concepts completed?</t>
  </si>
  <si>
    <t>Are the results of the producibility and manufacturability assessment being considered in the selection of preferred design concepts?</t>
  </si>
  <si>
    <t>Are the results of the producibility and manufacturability assessment being reflected in the Technology Development Strategy key components/technologies?</t>
  </si>
  <si>
    <t>Have producibility &amp; manufacturability assessments of key technologies and components been initiated as appropriate?</t>
  </si>
  <si>
    <t xml:space="preserve">Do ongoing design trades consider manufacturing processes and industrial base capability constraints? </t>
  </si>
  <si>
    <t>Have the manufacturing processes been assessed for capability to test and verify in production and their influence on Operations and Support (O&amp;S)?</t>
  </si>
  <si>
    <t>Have producibility assessments and producibility trade studies (performance vs. producibility) of key technologies/components been completed?</t>
  </si>
  <si>
    <t xml:space="preserve">Are the preliminary design choices assessed against manufacturing processes and industrial base capability constraints? </t>
  </si>
  <si>
    <t>Are the producibility enhancement efforts (e.g., Design For Manufacturing and Design for Assembly) initiated?</t>
  </si>
  <si>
    <t xml:space="preserve">Are the producibility enhancement efforts (e.g. Design for Mfg., Assembly, etc. - DFX) ongoing for an optimized integrated system? </t>
  </si>
  <si>
    <t xml:space="preserve">Are manufacturing processes re-assessed as needed for capability to test and verify potential influence on Operations &amp; Support? </t>
  </si>
  <si>
    <t>Have the producibility improvements been implemented on the system?</t>
  </si>
  <si>
    <t>Have the known producibility issues been resolved and pose no significant risk for Low Rate Initial Production (LRIP)?</t>
  </si>
  <si>
    <t>Have prior producibility improvements been analyzed for effectiveness during Low Rate Initial Production (LRIP)?</t>
  </si>
  <si>
    <t>Have the producibility issues/risks discovered in Low Rate Initial Production (LRIP) been mitigated and pose no significant risk for Full Rate Production (FRP)?</t>
  </si>
  <si>
    <t>Have design producibility improvements been demonstrated in Full Rate Production (FRP)?</t>
  </si>
  <si>
    <t>Are process producibility improvements ongoing?</t>
  </si>
  <si>
    <t>Are all modifications, upgrades, Diminishing Mfg Sources &amp; Material Shortages (DMSMS), and other changes assessed for producibility?</t>
  </si>
  <si>
    <t>Have manufacturing research opportunities been identified?</t>
  </si>
  <si>
    <t>Have applications been defined?</t>
  </si>
  <si>
    <t>Have broad performance goals been identified that may drive manufacturing options?</t>
  </si>
  <si>
    <t>Have top level performance requirements been defined?</t>
  </si>
  <si>
    <t>Have trade-offs in design options been assessed based on experiments?</t>
  </si>
  <si>
    <t>Are product lifecycle requirements and technical requirements being evaluated?</t>
  </si>
  <si>
    <t>Do the Systems Engineering Plan (SEP) and the Test and Evaluation Strategy recognize the need for the establishment/validation of manufacturing capability and management of manufacturing risk for the product lifecycle?</t>
  </si>
  <si>
    <t>Have initial potential Key Performance Parameters (KPPs) been identified for the preferred systems concept?</t>
  </si>
  <si>
    <t>Are system characteristics and measures to support required capabilities identified?</t>
  </si>
  <si>
    <t>Are form, fit, and function constraints and manufacturing capabilities identified for the preferred systems concepts?</t>
  </si>
  <si>
    <t xml:space="preserve">Are lower level performance requirements sufficient to proceed to the preliminary design?  </t>
  </si>
  <si>
    <t xml:space="preserve">Are all enabling/critical technologies and components identified? </t>
  </si>
  <si>
    <t xml:space="preserve">Do enabling/critical technologies and components consider the product lifecycle? </t>
  </si>
  <si>
    <t xml:space="preserve">Have the evaluation of design Key Characteristics (KC) been initiated? </t>
  </si>
  <si>
    <t>Have product data required for prototype component manufacturing been released?</t>
  </si>
  <si>
    <t>Has a system allocated baseline been established?</t>
  </si>
  <si>
    <t>Are the product requirements and features well enough defined to support Preliminary Design Review?</t>
  </si>
  <si>
    <t>Has product data essential for  subsystem/system prototyping been released?</t>
  </si>
  <si>
    <t>Have all enabling/critical technologies/components been demonstrated?</t>
  </si>
  <si>
    <t>Have preliminary design Key Characteristics (KC) been defined and are mitigation plans in development?</t>
  </si>
  <si>
    <t>Are the product design and features well enough defined to support critical design review even though design change traffic may be significant?</t>
  </si>
  <si>
    <t>Has all the product data essential for component manufacturing been released?</t>
  </si>
  <si>
    <t>Have potential Key Characteristic risk issues been identified?</t>
  </si>
  <si>
    <t>Have preliminary design Key Characteristic (KC) issues been defined and are mitigation plans in development?</t>
  </si>
  <si>
    <t>Is the detailed design of product features and interfaces complete?</t>
  </si>
  <si>
    <t>Has all the product data essential for system manufacturing been released?</t>
  </si>
  <si>
    <t>Does the design change traffic have minimal impact on Low Rate Initial Production (LRIP)?</t>
  </si>
  <si>
    <t>Are the Key Characteristics attainable based upon pilot line demonstrations?</t>
  </si>
  <si>
    <t>Are the major product design features and configuration stable?</t>
  </si>
  <si>
    <t>Has the system design been validated through operational testing of Low Rate Initial Production (LRIP) items?</t>
  </si>
  <si>
    <t>Is the Physical Configuration Audit (PCA) or equivalent complete as necessary?</t>
  </si>
  <si>
    <t>Is the design change traffic limited to minor configuration changes?</t>
  </si>
  <si>
    <t>Are all Key Characteristics controlled in Low Rate Initial Production (LRIP) to appropriate quality levels?</t>
  </si>
  <si>
    <t xml:space="preserve">Is the product design stable (i.e. design changes are few and generally limited to those required for continuous improvement or in reaction to obsolescence)? </t>
  </si>
  <si>
    <t>Are all Key Characteristics controlled in Full Rate Production (FRP) to appropriate quality levels?</t>
  </si>
  <si>
    <t>Has the cost model approach been defined?</t>
  </si>
  <si>
    <t xml:space="preserve">Have initial cost targets and risks been identified? </t>
  </si>
  <si>
    <t xml:space="preserve">Has a high level process chart model been developed? </t>
  </si>
  <si>
    <t>Have technology cost models been developed for new process steps and materials based on experiments?</t>
  </si>
  <si>
    <t xml:space="preserve">Have key manufacturing, material and specialized requirement cost drivers been identified?    </t>
  </si>
  <si>
    <t>Are detailed process chart cost models driven by process variables?</t>
  </si>
  <si>
    <t>Has cost driver uncertainty been quantified?</t>
  </si>
  <si>
    <t>Do prototype components or simulations produced in a production relevant environment drive the formulation of the final production cost model?</t>
  </si>
  <si>
    <t>Is there a realistic cost model that includes  materials, labor, equipment, tooling/Special Test Equipment (STE), setup, yield/scrap/rework, Work In Progress (WIP), and capability/capacity constraints?</t>
  </si>
  <si>
    <t xml:space="preserve">Have cost models been updated with design requirements, material specifications, tolerances, integrated master schedule, results of system/subsystem simulations and  production relevant prototype demonstrations?  </t>
  </si>
  <si>
    <t>Are cost models updated with the results of systems/sub-systems produced in a production representative environment, production plant layout and design, and obsolescence solutions?</t>
  </si>
  <si>
    <t>Have cost models been updated with results of the pilot line build?</t>
  </si>
  <si>
    <t>Has the Full Rate Production (FRP) cost model been updated with the result of the Low Rate Initial Production (LRIP) build?</t>
  </si>
  <si>
    <t>Has the cost model been validated against actual Full Rate Production (FRP) cost?</t>
  </si>
  <si>
    <t>Have manufacturing cost implications been identified?</t>
  </si>
  <si>
    <t>Have cost elements been identified?</t>
  </si>
  <si>
    <t>Has a sensitivity analysis been conducted to define cost drivers and production development strategy (i.e. lab to pilot to factory)?</t>
  </si>
  <si>
    <t xml:space="preserve">Have producibility cost risks been assessed?  </t>
  </si>
  <si>
    <t xml:space="preserve"> Do initial cost models support Analysis of Alternatives (AoA) and Alternative Systems Review (ASR)?</t>
  </si>
  <si>
    <t xml:space="preserve">Are costs analyzed using prototype component actuals to ensure target costs are achievable? </t>
  </si>
  <si>
    <t xml:space="preserve">Are decisions regarding design choices, make/buy, capacity, process capability, sources, quality, key characteristics, yield/rate, and variability influenced by cost models?   </t>
  </si>
  <si>
    <t xml:space="preserve">Are costs analyzed using prototype system/sub-system actuals to ensure target costs are achievable? </t>
  </si>
  <si>
    <t>Have cost targets been allocated to subsystems?</t>
  </si>
  <si>
    <t>Have cost reduction and avoidance strategies been developed?</t>
  </si>
  <si>
    <t>Have the manufacturing cost drivers for "Should-Cost" models been provided?</t>
  </si>
  <si>
    <t>Have the manufacturing costs been rolled up to the system/sub-system level and been tracked against targets?</t>
  </si>
  <si>
    <t xml:space="preserve"> Are detailed trade studies and engineering change requests supported by cost estimates?</t>
  </si>
  <si>
    <t>Are cost reduction and avoidance strategies underway?</t>
  </si>
  <si>
    <t>Have the manufacturing cost drivers for "Should-Cost" models been updated?</t>
  </si>
  <si>
    <t xml:space="preserve">Are costs analyzed using pilot line actuals to ensure target costs are achievable? </t>
  </si>
  <si>
    <t>Does manufacturing cost analysis support proposed changes to requirements or configuration?</t>
  </si>
  <si>
    <t>Are the cost reduction initiatives ongoing?</t>
  </si>
  <si>
    <t xml:space="preserve">Have Low Rate Initial Production (LRIP) cost goals been met and has the learning curve been analyzed with actual data?  </t>
  </si>
  <si>
    <t>Are the cost reduction initiatives still ongoing?</t>
  </si>
  <si>
    <t>Has touch labor efficiency been analyzed to meet production rates?</t>
  </si>
  <si>
    <t>Have elements of inefficiency for touch labor been identified with plans in place for reduction?</t>
  </si>
  <si>
    <t>Have Full Rate Production (FRP) cost goals been met?</t>
  </si>
  <si>
    <t>Are the cost reduction initiatives continuing?</t>
  </si>
  <si>
    <t>Have potential investments been identified?</t>
  </si>
  <si>
    <t>Do the program/projects have reasonable budget estimates for reaching MRL 3 through experiment?</t>
  </si>
  <si>
    <t>Do the program/projects have reasonable budget estimates for reaching MRL 4 by Milestone A?</t>
  </si>
  <si>
    <t>Have manufacturing technology initiatives been identified to reduce costs?</t>
  </si>
  <si>
    <t>Does the program have a reasonable budget estimate to reach MRL 6 by Milestone B?</t>
  </si>
  <si>
    <t>Does the cost estimate include capital investment for production-relevant equipment?</t>
  </si>
  <si>
    <t>Are all outstanding MRL 4 risk areas understood with approved mitigation plans in place?</t>
  </si>
  <si>
    <t>Does the program have an updated budget estimate for reaching MRL 6 by Milestone B?</t>
  </si>
  <si>
    <t>Are all outstanding MRL 5 risk areas understood with approved mitigation plans in place?</t>
  </si>
  <si>
    <t>Does the program have a reasonable budget estimate for reaching MRL 8 by Milestone C?</t>
  </si>
  <si>
    <t>Does the cost estimate include capital investment for production-representative equipment by CDR and pilot line equipment by Milestone C?</t>
  </si>
  <si>
    <t>Are all outstanding MRL 6 risk areas understood with approved mitigation plans in place?</t>
  </si>
  <si>
    <t>Does the program have an updated budget estimate for reaching MRL 8 by Milestone C?</t>
  </si>
  <si>
    <t>Are all outstanding MRL 7 risk areas understood with approved mitigation plans in place?</t>
  </si>
  <si>
    <t>Does the program have a reasonable budget estimate for reaching MRL 9 by the Full Rate Production (FRP) decision point?</t>
  </si>
  <si>
    <t>Does the cost estimate include investment for Low Rate Initial Production (LRIP) and Full Rate Production (FRP)?</t>
  </si>
  <si>
    <t>Are all outstanding MRL 8 risk areas understood with approved mitigation plans in place?</t>
  </si>
  <si>
    <t>Does the program have a reasonable budget estimate for Full Rate Production (FRP)?</t>
  </si>
  <si>
    <t>Are all outstanding MRL 9 risk areas understood with approved mitigation plans in place?</t>
  </si>
  <si>
    <t>Are the production budgets sufficient for production at the required rates and schedule to support the funded program?</t>
  </si>
  <si>
    <t>D - Materials</t>
  </si>
  <si>
    <t>Have material properties been identified for research?</t>
  </si>
  <si>
    <t>Have material properties and characteristics been predicted?</t>
  </si>
  <si>
    <t>Have material properties been validated and assessed for basic manufacturability using experiments?</t>
  </si>
  <si>
    <t>Have projected materials been produced in a laboratory environment?</t>
  </si>
  <si>
    <t>Have all materials been manufactured or produced in a prototype environment (may be in a similar application/program)?</t>
  </si>
  <si>
    <t>Are maturation efforts in place to address new material production risks for technology demonstration?</t>
  </si>
  <si>
    <t>Has the material maturity been verified with technology demonstration articles?</t>
  </si>
  <si>
    <t>Are preliminary material specifications in place?</t>
  </si>
  <si>
    <t>Have material properties been adequately characterized?</t>
  </si>
  <si>
    <t>Is the material maturity sufficient for a pilot line build?</t>
  </si>
  <si>
    <t>Have the necessary material specifications been approved?</t>
  </si>
  <si>
    <t>Have the materials been proven and validated during Engineering and Manufacturing Development (EMD) as adequate to support Low Rate Initial Production (LRIP)?</t>
  </si>
  <si>
    <t>Are material specifications stable?</t>
  </si>
  <si>
    <t>Have all necessary materials been proven and controlled to specification in Low Rate Initial Production (LRIP)?</t>
  </si>
  <si>
    <t>Are the materials proven and validated as adequate to support FRP?</t>
  </si>
  <si>
    <t>Have all necessary materials been proven and controlled to specification in Full Rate Production (FRP)?</t>
  </si>
  <si>
    <t>Has material availability been assessed?</t>
  </si>
  <si>
    <t>Have material scale-up issues been identified?</t>
  </si>
  <si>
    <t>Have projected lead times been identified for all difficult to obtain, difficult to process, or hazardous materials?</t>
  </si>
  <si>
    <t>Have material quantities and lead times been estimated?</t>
  </si>
  <si>
    <t>Have material availability issues been addressed for the prototype build?</t>
  </si>
  <si>
    <t>Have significant material risks been identified for all materials?</t>
  </si>
  <si>
    <t>Has planning begun to address scale-up issues?</t>
  </si>
  <si>
    <t>Have material availability issues been addressed to meet Engineering and Manufacturing Development (EMD) build?</t>
  </si>
  <si>
    <t>Have Long-lead items been identified?</t>
  </si>
  <si>
    <t>Have potential obsolescence issues been identified?</t>
  </si>
  <si>
    <t>Have components been assessed for future DMSMS risk?</t>
  </si>
  <si>
    <t>Have long lead procurements been identified/planned for Low Rate Initial Production (LRIP)?</t>
  </si>
  <si>
    <t>Is an obsolescence plan in place?</t>
  </si>
  <si>
    <t>Are mitigation strategies in place for DMSMS components?</t>
  </si>
  <si>
    <t>Have long lead procurements been initiated for Low Rate Initial Production (LRIP)?</t>
  </si>
  <si>
    <t>Are material availability risk issues minimized for Low Rate Initial Production (LRIP)?</t>
  </si>
  <si>
    <t>Have availability Issues been addressed to meet FRP builds?</t>
  </si>
  <si>
    <t>Have long lead procurements been initiated for Full Rate Production (FRP)?</t>
  </si>
  <si>
    <t>Are availability risk issues minimized for Full Rate Production (FRP)?</t>
  </si>
  <si>
    <t>Are all significant Full Rate Production (FRP) material availability risk issues resolved?</t>
  </si>
  <si>
    <t>Has an initial assessment of potential supply chain capability been completed?</t>
  </si>
  <si>
    <t>Has a survey for potential supply chain sources been completed?</t>
  </si>
  <si>
    <t xml:space="preserve">Has a survey for potential supply chain sources been completed?
</t>
  </si>
  <si>
    <t xml:space="preserve">
Have potential supply chain sources been identified and evaluated as able to support prototype build?
</t>
  </si>
  <si>
    <t>Have life cycle supply chain requirements and the critical suppliers list been updated?</t>
  </si>
  <si>
    <t>Are supply chain plans (e.g., teaming agreements, etc.) in place leading to an Engineering and Manufacturing Development (EMD) contract award?</t>
  </si>
  <si>
    <t>Is there an effective supply chain management process defined, documented and in place?</t>
  </si>
  <si>
    <t>Is there an effective process in place for management of suppliers using metrics for tracking and managing supplier performance?</t>
  </si>
  <si>
    <t>Has a plan been developed for establishing predictive indicators?</t>
  </si>
  <si>
    <t>Is the supply chain adequate to support Low Rate Initial Production (LRIP)?</t>
  </si>
  <si>
    <t>Has an adequate assessment of the critical second and lower tier supply chain been completed?</t>
  </si>
  <si>
    <t>Is there a robust and disciplined requirements flow-down process verified and in place?</t>
  </si>
  <si>
    <t>Has supplier compliance with program requirements and changes been validated?</t>
  </si>
  <si>
    <t>Has the plan for predictive indicators been updated for use in production?</t>
  </si>
  <si>
    <t>Is the supply chain stable and adequate to support Full Rate Production (FRP)?</t>
  </si>
  <si>
    <t>Are long term agreements in place where practical?</t>
  </si>
  <si>
    <t>Are the Prime's supplier management metrics (including thresholds and goals) in place and being used to manage risk?</t>
  </si>
  <si>
    <t>Are predictive indicators in place to manage suppliers?</t>
  </si>
  <si>
    <t>D.4 - Special Handling</t>
  </si>
  <si>
    <t>Has an initial evaluation of potential regulatory requirements and special handling concerns been completed?</t>
  </si>
  <si>
    <t>Have potential special handling procedures been applied in the lab?</t>
  </si>
  <si>
    <t>Have special handling concerns been assessed?</t>
  </si>
  <si>
    <t>Has a list of hazardous materials been updated?</t>
  </si>
  <si>
    <t>Have special handling requirements been identified?</t>
  </si>
  <si>
    <t>Have the special handling procedures been applied in the lab?</t>
  </si>
  <si>
    <t>Have special handling procedures been applied in a production relevant environment?</t>
  </si>
  <si>
    <t>Have all special handling requirement gaps been identified?</t>
  </si>
  <si>
    <t>Have new special handling processes been demonstrated in lab environment?</t>
  </si>
  <si>
    <t>Have the plans to address the special handling requirement gaps been completed?</t>
  </si>
  <si>
    <t>Have special handling procedures been applied in a production representative environment?</t>
  </si>
  <si>
    <t>Have special handling procedures been developed and annotated on work instructions for the pilot line?</t>
  </si>
  <si>
    <t>Have special handling procedures been applied in a pilot line environment?</t>
  </si>
  <si>
    <t>Have special handling procedures been demonstrated in Engineering and Manufacturing Development (EMD) or technology insertion programs?</t>
  </si>
  <si>
    <t>Have the special handling risk issues been minimized for Low Rate Initial Production (LRIP)?</t>
  </si>
  <si>
    <t>Do all work instructions contain special handling provisions as required?</t>
  </si>
  <si>
    <t>Have special handling procedures been applied in a Low Rate Initial Production (LRIP) environment?</t>
  </si>
  <si>
    <t>Have the special handling procedures been demonstrated in Low Rate Initial Production (LRIP)?</t>
  </si>
  <si>
    <t>Have the special handling risk issues been minimized for Full Rate Production (FRP)?</t>
  </si>
  <si>
    <t xml:space="preserve">Have the special handling procedures been effectively implemented in Full Rate Production (FRP)?  </t>
  </si>
  <si>
    <t>E - Process Capability &amp; Control</t>
  </si>
  <si>
    <t>E.1 - Modeling &amp; Simulation</t>
  </si>
  <si>
    <t>Have initial models been developed, if applicable?</t>
  </si>
  <si>
    <t>Have proposed manufacturing concepts or producibility needs been identified based on high-level process flow chart models?</t>
  </si>
  <si>
    <t>Have production modeling and simulation approaches for process or product been identified?</t>
  </si>
  <si>
    <t>Have the initial simulation models (product or process) been developed at the component level and used to determine constraints?</t>
  </si>
  <si>
    <t>Have the initial simulation models been developed at the technology sub-system or system level and used to determine system constraints?</t>
  </si>
  <si>
    <t>Have the simulation models been used to determine system constraints and identify improvement opportunities?</t>
  </si>
  <si>
    <t xml:space="preserve">Have the simulation models been verified by the pilot line? </t>
  </si>
  <si>
    <t>Have the results of the simulation models been used to improve processes and determine that Low Rate Initial Production (LRIP) requirements can be met?</t>
  </si>
  <si>
    <t>Have the simulation models been verified by Low Rate Initial Production (LRIP) build and used to assist in management of Low Rate Initial Production (LRIP)?</t>
  </si>
  <si>
    <t>Have the results of the simulation models been used to determine if Full Rate Production (FRP) requirements can be met?</t>
  </si>
  <si>
    <t>Have the simulation models been verified by Full Rate Production (FRP) build?</t>
  </si>
  <si>
    <t>Have the production simulation models been used as a tool to assist in management of Full Rate Production (FRP)?</t>
  </si>
  <si>
    <t>Have material and/or process approaches been identified?</t>
  </si>
  <si>
    <t>Have high level manufacturing processes been documented?</t>
  </si>
  <si>
    <t>Have critical manufacturing processes been identified through experimentation?</t>
  </si>
  <si>
    <t>Has a survey been completed to determine the current state of critical processes?</t>
  </si>
  <si>
    <t>Has process maturity been assessed on similar processes in production?</t>
  </si>
  <si>
    <t>Have process capability requirements been identified for pilot line, Low Rate Initial Production (LRIP) and Full Rate Production (FRP)?</t>
  </si>
  <si>
    <t>Have the key manufacturing processes been demonstrated in a production relevant environment?</t>
  </si>
  <si>
    <t xml:space="preserve">Has collecting or estimating process capability data from prototype build begun, and have process capability requirements been refined? </t>
  </si>
  <si>
    <t>Have the manufacturing processes been successfully demonstrated in a production representative environment?</t>
  </si>
  <si>
    <t xml:space="preserve">Has collecting or estimating process capability data continued? </t>
  </si>
  <si>
    <t>Have process capability requirements been refined?</t>
  </si>
  <si>
    <t>Have the manufacturing processes for Low Rate Initial Production (LRIP) been verified on a pilot line?</t>
  </si>
  <si>
    <t>Does capability data from the pilot line meet the target?</t>
  </si>
  <si>
    <t>Have process capability requirements for LRIP been refined based on Pilot Line data?</t>
  </si>
  <si>
    <t>Are the manufacturing processes stable, adequately controlled, capable, and have the manufacturing processes achieved program  Low Rate Initial Production (LRIP) objectives?</t>
  </si>
  <si>
    <t xml:space="preserve">Have variability experiments been conducted to show Full Rate Production (FRP) impact and potential for continuous improvement? </t>
  </si>
  <si>
    <t>Are the manufacturing processes stable, adequately controlled, capable, and have the manufacturing processes achieved program  Full Rate Production (FRP) objectives?</t>
  </si>
  <si>
    <t>Have initial estimates of yields and rates based on experiments or state of the art been completed?</t>
  </si>
  <si>
    <t>Has a yield and rates assessment on proposed/similar processes been completed?</t>
  </si>
  <si>
    <t>Has a yield and rates assessment on proposed/similar processes been applied within the Analysis of Alternatives (AoA)?</t>
  </si>
  <si>
    <t>Have target yield and rates been established for the pilot line, Low Rate Initial Production (LRIP), and Full Rate Production (FRP)?</t>
  </si>
  <si>
    <t>Have yield and rate issues been identified and does the detailed production schedule support the required production rate?</t>
  </si>
  <si>
    <t>Have yield and rate improvement plans been developed/initiated?</t>
  </si>
  <si>
    <t>Are yields and rates from the production relevant environment being evaluated against targets?</t>
  </si>
  <si>
    <t>Are results from the yields and rates from the production relevant environment being fed into an improvement plan?</t>
  </si>
  <si>
    <t>Are yields and rates from the production representative environment being evaluated against pilot line targets?</t>
  </si>
  <si>
    <t>Are results from the yields and rates from the production representative environment being fed into  improvement plans?</t>
  </si>
  <si>
    <t>Have pilot line yield and rate targets been achieved?</t>
  </si>
  <si>
    <t>Have yields and rates required to begin Low Rate Initial Production (LRIP) been refined using pilot line articles?</t>
  </si>
  <si>
    <t>Are yield and rate improvement plans ongoing and being updated?</t>
  </si>
  <si>
    <t>Have the Low Rate Initial Production (LRIP) yield and rate targets been achieved?</t>
  </si>
  <si>
    <t>Have the results of LRIP yields and rates been used to refine FRP yield requirements?</t>
  </si>
  <si>
    <t>Are yield improvements on-going?</t>
  </si>
  <si>
    <t>Have the Full Rate Production (FRP) yield and rate targets been achieved?</t>
  </si>
  <si>
    <t>F.1 - Quality Management including Supplier Quality</t>
  </si>
  <si>
    <t>Has a quality strategy been identified as part of the Acquisition Strategy (AS)?</t>
  </si>
  <si>
    <t>Is the updated quality strategy included in the System Engineering Plan (SEP)?</t>
  </si>
  <si>
    <t>Has the quality strategy been updated to reflect Key Characteristic identification activities?</t>
  </si>
  <si>
    <t>Is there an initial Quality Plan (QP) and a Quality Management System (QMS) in place?</t>
  </si>
  <si>
    <t>Have quality risks and adequate metrics been identified and improvement plans initiated?</t>
  </si>
  <si>
    <t>Have the quality targets been established?</t>
  </si>
  <si>
    <t>Do Quality Management System (QMS) elements (e.g., control of nonconforming material, corrective action, etc.) meet requirements of appropriate industry standards?</t>
  </si>
  <si>
    <t>Is a program-specific quality plan being developed?</t>
  </si>
  <si>
    <t>Have the program-specific quality plan and Quality Manager been established?</t>
  </si>
  <si>
    <t>Have quality targets been assessed against the pilot line to see if they drive continuous quality improvement?</t>
  </si>
  <si>
    <t>Have quality targets been verified on the Low Rate Initial Production (LRIP) line?</t>
  </si>
  <si>
    <t>Is continuous quality improvement on-going?</t>
  </si>
  <si>
    <t>Is management review of quality targets conducted on a regular basis with appropriate action being taken?</t>
  </si>
  <si>
    <t>Have the quality targets been verified on the Full Rate Production (FRP) line?</t>
  </si>
  <si>
    <t>Are statistical controls being applied where appropriate?</t>
  </si>
  <si>
    <t>Has a product inspection and acceptance testing strategy been identified as part of the Acquisition Strategy?</t>
  </si>
  <si>
    <t>Has a product inspection and acceptance testing strategy been included in the Systems Engineering Plan (SEP)?</t>
  </si>
  <si>
    <t xml:space="preserve">Have roles and responsibilities been identified for acceptance test procedures, in-process and final inspections? </t>
  </si>
  <si>
    <t xml:space="preserve">Is there a program in place to identify and manage key characteristics?  </t>
  </si>
  <si>
    <t>Have statistical process controls been identified for prototype units?</t>
  </si>
  <si>
    <t>Has a Key Characteristic management approach been defined?</t>
  </si>
  <si>
    <t>Have initial requirements been identified for acceptance test procedures and in-process and final inspection requirements for EMD units?</t>
  </si>
  <si>
    <t>Have appropriate inspection and acceptance test procedures been identified for prototype units?</t>
  </si>
  <si>
    <t>Has quality data from the production representative environment been collected and analyzed and the results used to shape improvement plans?</t>
  </si>
  <si>
    <t>Are control plans completed for management of Key Characteristics?</t>
  </si>
  <si>
    <t>Are Test and Inspection Plans being developed for EMD units?</t>
  </si>
  <si>
    <t>Are Key Characteristics managed with measurement procedures and controls in place (e.g. SPC, FRACAS, audits, customer satisfaction, etc.)?</t>
  </si>
  <si>
    <t>Does the Pilot line data meet capability requirements for all Key Characteristics?</t>
  </si>
  <si>
    <t>Are Test and Inspection Plans complete and validated for production units?</t>
  </si>
  <si>
    <t>Does data from LRIP demonstrate that production processes for all Key Characteristics and other manufacturing processes critical to quality are capable and under control for FRP?</t>
  </si>
  <si>
    <t>Is the quality of Key Characteristics controlled at rate, and the data reflects only rare and unrepeated quality issues related to manufacturing processes?</t>
  </si>
  <si>
    <t>Do results of quality data achieve targeted statistical level on all Key Characteristics?</t>
  </si>
  <si>
    <t>Do results of quality data reflect continuous improvement?</t>
  </si>
  <si>
    <t xml:space="preserve">Are potential supplier base quality capabilities and risks identified, to include subtier supplier quality management? </t>
  </si>
  <si>
    <t>Have supply base quality capabilities and risks been identified, to include subtier quality management?</t>
  </si>
  <si>
    <t>Have specific supply base quality improvement initiatives been identified addressing supplier Quality Management System shortfalls, including subtier supplier quality management?</t>
  </si>
  <si>
    <t>Has supplier quality data from production representative units been collected and analyzed?</t>
  </si>
  <si>
    <t>Has a strategy been outlined for audits of critical supplier processes?</t>
  </si>
  <si>
    <t>Are supplier program-specific Quality Management Systems adequate ?</t>
  </si>
  <si>
    <t>Have supplier products completed qualification testing?</t>
  </si>
  <si>
    <t>Have supplier products completed first article inspection?</t>
  </si>
  <si>
    <t>Is acceptance testing of supplier products adequate to begin LRIP?</t>
  </si>
  <si>
    <t>Is a plan for subcontractor process audits in place and being implemented by prime contractor?</t>
  </si>
  <si>
    <t>Does supplier management of quality of Key Characteristics and other critical manufacturing processes demonstrate capability and control for FRP?</t>
  </si>
  <si>
    <t>Does acceptance testing of supplier products reflects control of quality adequate to begin FRP?</t>
  </si>
  <si>
    <t>Are subcontractor Quality Audits performed as necessary to ensure subcontractor specification compliance?</t>
  </si>
  <si>
    <t>Does supplier quality data reflect adequate management of Key Characteristics and control of critical manufacturing processes, including quality management down to subtier suppliers?</t>
  </si>
  <si>
    <t xml:space="preserve">Does process quality achieve high statistical level (e.g. 6-sigma) on all critical dimensions? </t>
  </si>
  <si>
    <t>G - Mfg Personnel</t>
  </si>
  <si>
    <t>G.1 - Manufacturing Personnel</t>
  </si>
  <si>
    <t>Have new manufacturing skills been identified?</t>
  </si>
  <si>
    <t xml:space="preserve">Have the manufacturing skills needed to produce, test and support the proposed concepts been assessed?  </t>
  </si>
  <si>
    <t>Have manufacturing skill sets been identified?</t>
  </si>
  <si>
    <t>Have production workforce requirements (technical and operational) been evaluated as part of AoA?</t>
  </si>
  <si>
    <t>Has the availability of process development workforce for the Technology Maturation and Risk Reduction Phase been determined?</t>
  </si>
  <si>
    <t>Have the necessary workforce skill sets been identified to meet prototype production needs?</t>
  </si>
  <si>
    <t>Have plans for the identified skill sets been developed to meet prototype production needs?</t>
  </si>
  <si>
    <t>Have special skills certification and training requirements been established?</t>
  </si>
  <si>
    <t>Are the manufacturing workforce skills available for production in a relevant environment?</t>
  </si>
  <si>
    <t xml:space="preserve">Have resources (quantities and skill sets) been identified to achieve requirements for pilot line and production? </t>
  </si>
  <si>
    <t xml:space="preserve">Have initial plans for the identified resources (quantities and skill sets) been developed to achieve requirements for pilot line and production? </t>
  </si>
  <si>
    <t>Have the manufacturing workforce resource requirements been identified for the pilot line?</t>
  </si>
  <si>
    <t xml:space="preserve"> Have plans been developed to achieve pilot line requirements?</t>
  </si>
  <si>
    <t xml:space="preserve"> Have plans been updated to achieve Low Rate Initial Production (LRIP) workforce requirements? </t>
  </si>
  <si>
    <t>Has the pilot line workforce been trained in the representative environment?</t>
  </si>
  <si>
    <t>Have manufacturing workforce resource requirements been identified for Low Rate Initial Production (LRIP)?</t>
  </si>
  <si>
    <t xml:space="preserve"> Have plans been developed to achieve Low Rate Initial Production (LRIP) requirements?</t>
  </si>
  <si>
    <t xml:space="preserve"> Have plans been updated to achieve  Full Rate Production (FRP) workforce requirements? </t>
  </si>
  <si>
    <t>Have Low Rate Initial Production (LRIP) personnel been trained on the pilot line where possible?</t>
  </si>
  <si>
    <t>Have Low Rate Initial Production (LRIP) personnel requirements been met?</t>
  </si>
  <si>
    <t>Has a plan been implemented to achieve Full Rate Production (FRP) workforce requirements?</t>
  </si>
  <si>
    <t>Have Full Rate Production (FRP) personnel requirements been met including all necessary certifications?</t>
  </si>
  <si>
    <t>Are production workforce skill sets being maintained due to attrition of the workforce?</t>
  </si>
  <si>
    <t>H.1 - Tooling/ Special Test and Inspection Equipment (STE/SIE)</t>
  </si>
  <si>
    <t>Are tooling/Special Test Equipment (STE)/Special Inspection Equipment (SIE) requirements being considered as part of AoA?</t>
  </si>
  <si>
    <t>Have tooling and STE/SIE requirements been identified?</t>
  </si>
  <si>
    <t xml:space="preserve">Have supporting rationale and a schedule been provided for the tooling and STE/SIE requirements? </t>
  </si>
  <si>
    <t xml:space="preserve">Have prototype tooling and STE/SIE concepts been demonstrated in production relevant environment? </t>
  </si>
  <si>
    <t>Have production tooling and STE/SIE requirements been developed?</t>
  </si>
  <si>
    <t>Are production tooling and STE/SIE design and development efforts underway?</t>
  </si>
  <si>
    <t>Has a manufacturing equipment maintenance strategy been developed?</t>
  </si>
  <si>
    <t>Have all tooling, test, and inspection equipment been proven on the pilot line?</t>
  </si>
  <si>
    <t>Have all tooling, test and inspection equipment requirements been identified for Low Rate Initial Production (LRIP)?</t>
  </si>
  <si>
    <t>Has manufacturing equipment maintenance been demonstrated on pilot line?</t>
  </si>
  <si>
    <t>Have all tooling, test, and inspection equipment been proven in the Low Rate Initial Production (LRIP)?</t>
  </si>
  <si>
    <t>Has all tooling, test, and inspection equipment been proven in LRIP and additional requirements identified for Full Rate Production (FRP)?</t>
  </si>
  <si>
    <t>Has a manufacturing equipment maintenance schedule been demonstrated?</t>
  </si>
  <si>
    <t>Are proven tooling, test, and inspection equipment in place to support maximum Full Rate Production (FRP)?</t>
  </si>
  <si>
    <t>Has a planned equipment maintenance schedule been achieved?</t>
  </si>
  <si>
    <t>Have all STE/SIE been validated as part of pilot line validation IAW validation plan?</t>
  </si>
  <si>
    <t xml:space="preserve">Has STE/SIE validation been maintained as necessary? </t>
  </si>
  <si>
    <t>Has STE/SIE revalidation been completed as necessary?</t>
  </si>
  <si>
    <t xml:space="preserve">Have specialized facility requirements/needs been identified? </t>
  </si>
  <si>
    <t>Has the availability of manufacturing facilities for prototype development and production been evaluated as part of the Analysis of Alternatives (AoA)?</t>
  </si>
  <si>
    <t>Have manufacturing facilities been identified to produce prototypes?</t>
  </si>
  <si>
    <t>Have plans for the identified manufacturing facilities been developed to produce prototypes?</t>
  </si>
  <si>
    <t>Have manufacturing facilities been identified to produce the pilot line build?</t>
  </si>
  <si>
    <t>Have plans for the identified manufacturing facilities been developed to produce the pilot line build?</t>
  </si>
  <si>
    <t>Have manufacturing facilities been identified to produce the Low Rate Initial Production (LRIP) build?</t>
  </si>
  <si>
    <t>Have plans for the identified manufacturing facilities been developed to produce the Low Rate Initial Production (LRIP) build?</t>
  </si>
  <si>
    <t>Have pilot line facilities been demonstrated?</t>
  </si>
  <si>
    <t>Are manufacturing facilities adequate to begin Low Rate Initial Production (LRIP)?</t>
  </si>
  <si>
    <t>Are plans in place to support the transition to Full Rate Production (FRP)?</t>
  </si>
  <si>
    <t>Is workplace safety adequate?</t>
  </si>
  <si>
    <t xml:space="preserve">Have manufacturing facilities been demonstrated in Low Rate Initial Production (LRIP)? </t>
  </si>
  <si>
    <t xml:space="preserve">Are capacity plans adequate to support Full Rate Production (FRP)? </t>
  </si>
  <si>
    <t>Are the production facilities in place to meet Full Rate Production (FRP) requirements?</t>
  </si>
  <si>
    <t>Has the capacity of the production facilities been demonstrated to meet Full Rate Production (FRP) requirements?</t>
  </si>
  <si>
    <t>Has a manufacturing strategy been developed and integrated with an acquisition strategy?</t>
  </si>
  <si>
    <t>Have prototype schedule risk mitigation efforts been incorporated into the Acquisition Strategy (AS)?</t>
  </si>
  <si>
    <t>Has the manufacturing strategy been refined based upon the preferred concept?</t>
  </si>
  <si>
    <t>Have prototype schedule risk mitigation efforts been initiated?</t>
  </si>
  <si>
    <t>Has the initial manufacturing approach been developed?</t>
  </si>
  <si>
    <t>Are all system design related manufacturing events included in the Integrated Master Plan/Schedule (IMP/S)?</t>
  </si>
  <si>
    <t>Has the manufacturing risk mitigation approach for the pilot line or technology insertion programs been defined?</t>
  </si>
  <si>
    <t>Has the initial manufacturing plan been developed?</t>
  </si>
  <si>
    <t>Has manufacturing planning required to achieve MRL 8 been included in the Integrated Master Plan/Schedule (IMP/S)?</t>
  </si>
  <si>
    <t>Have manufacturing risks been integrated into risk mitigation plans?</t>
  </si>
  <si>
    <t xml:space="preserve">Have initial work instructions been developed? </t>
  </si>
  <si>
    <t xml:space="preserve">Is an effective production control system in place to support the pilot line? </t>
  </si>
  <si>
    <t>Has the manufacturing plan been updated for Low Rate Initial Production (LRIP)?</t>
  </si>
  <si>
    <t>Have all key manufacturing risks been identified and assessed with approved mitigation plans in place?</t>
  </si>
  <si>
    <t xml:space="preserve">Have work instructions been finalized? </t>
  </si>
  <si>
    <t>Is an effective production control system in place to support Low Rate Initial Production (LRIP)?</t>
  </si>
  <si>
    <t>Has the manufacturing plan been updated for Full Rate Production (FRP)?</t>
  </si>
  <si>
    <t>Have all manufacturing risks been tracked and mitigated?</t>
  </si>
  <si>
    <t>Is an effective production control system in place to support Full Rate Production (FRP)?</t>
  </si>
  <si>
    <t>Have all manufacturing risks been mitigated?</t>
  </si>
  <si>
    <t>I.2 - Materials Planning</t>
  </si>
  <si>
    <t>Has the technology development article component list been developed with associated lead time estimates?</t>
  </si>
  <si>
    <t>Is the technology development part list maturing?</t>
  </si>
  <si>
    <t>Have make/buy evaluations begun?</t>
  </si>
  <si>
    <t>Do the make/buy evaluations include production considerations reflecting the pilot line, Low Rate Initial Production (LRIP), and Full Rate Production (FRP) needs?</t>
  </si>
  <si>
    <t>Are most material decisions complete (make/buy)?</t>
  </si>
  <si>
    <t xml:space="preserve">Have material risks been identified? </t>
  </si>
  <si>
    <t>Have material risk mitigation plans been developed?</t>
  </si>
  <si>
    <t>Has the Bill of Materials (BOM) been initiated?</t>
  </si>
  <si>
    <t xml:space="preserve">Are the make/Buy decisions and Bill of Materials (BOM) complete for pilot line build?  </t>
  </si>
  <si>
    <t>Are material planning systems in place for the pilot line build?</t>
  </si>
  <si>
    <t>Are the Make/Buy decisions and Bill of Materials (BOM) complete to support Low Rate Initial Production (LRIP)?</t>
  </si>
  <si>
    <t>Have material planning systems been proven on the pilot line and are in place for Low Rate Initial Production (LRIP) build?</t>
  </si>
  <si>
    <t>Are the Make/Buy decisions and Bill of Materials (BOM) complete enough to support Full Rate Production (FRP)?</t>
  </si>
  <si>
    <t>Has the material planning system been proven in LRIP, and is it sufficient for Full Rate Production (FRP?</t>
  </si>
  <si>
    <t>Have the material planning systems been validated on the Full Rate Production (FRP) build?</t>
  </si>
  <si>
    <t>Current Revision of MRL Matrix Revision</t>
  </si>
  <si>
    <t>v.2016</t>
  </si>
  <si>
    <t>Current User's Guide Revision</t>
  </si>
  <si>
    <t xml:space="preserve">MRL FILTER *(Select the MRL Levels you would like to display by clicking the down arrow in the cell B4) </t>
  </si>
  <si>
    <t>(All)</t>
  </si>
  <si>
    <t>Thread 
*(Select the threads you would like to display by clicking the down arrow in this cell A6)</t>
  </si>
  <si>
    <t>(blank)</t>
  </si>
  <si>
    <t>Are the results of the producibility assessments and trade studies being used to shape the Acquisition Strategy, Systems Engineering Plan (SEP), Manufacturing and Producibility plans, and Planning for Engineering and Manufacturing Development (EMD) or tec</t>
  </si>
  <si>
    <t xml:space="preserve">Do key supplier Quality Management Systems meet appropriate industry standards? </t>
  </si>
  <si>
    <r>
      <rPr>
        <b/>
        <sz val="12"/>
        <rFont val="Arial"/>
        <family val="2"/>
      </rPr>
      <t>NOTES:</t>
    </r>
    <r>
      <rPr>
        <sz val="12"/>
        <rFont val="Arial"/>
        <family val="2"/>
      </rPr>
      <t xml:space="preserve"> V.2017, added changes IAW with Criteria Matrix 2016,hard artificats and objective evidence MRL 4-10.  Removed pivot table version of MRL Questionnaire.  </t>
    </r>
  </si>
  <si>
    <t>I - Manufacturing Management</t>
  </si>
  <si>
    <t xml:space="preserve"> A business and technical management approach designed to achieve program objectives within the resource constraints imposed. It is the framework for planning, directing, contracting for, and managing a program. It provides a master schedule for research, development, test, production, fielding, modification, post-production management, and other activities essential for program success. The acquisition strategy is the basis for formulating functional plans and strategies (e.g., Test and Evaluation Master Plan (TEMP), Systems Engineering Plan (SEP), Manufacturing Management Plan (MMP), Quality Assurance Plan (QAP), etc.). Once approved by the MDA, the Acquisition Strategy provides a basis for more detailed planning. </t>
  </si>
  <si>
    <t>A demonstration of the maturity and potential of advanced technologies for enhanced military operational capability or cost effectiveness.</t>
  </si>
  <si>
    <t>The degree to which the life cycle cost of an acquisition program is in consonance with the long-range investment plans of the customer.</t>
  </si>
  <si>
    <t xml:space="preserve">A multi-disciplined technical review to ensure that requirements agree with the customers’ needs and expectations and that the system under review can proceed into the Technology Maturation and Risk Reduction (TMRR) phase. The ASR should be completed prior to Milestone A. </t>
  </si>
  <si>
    <t xml:space="preserve">The AoA assesses potential materiel solutions to satisfy the capability need documented in the approved Initial Capabilities Document (ICD). It focuses on identification and analysis of alternatives, measures of effectiveness (MOEs), cost, schedule, concepts of operations, and overall risk, including the sensitivity of each alternative to possible changes in key assumptions or variables. The AoA also assesses critical Technologies (CTs) associated with each proposed materiel solution, including technology maturity, integration risk, manufacturing feasibility, and, where necessary, technology maturation and demonstration needs. The AoA is normally conducted during the Materiel Solution Analysis (MSA) phase of the Defense Acquisition Management System (DAMS), is a key input to the Capability Development Document (CDD), and supports the materiel solution decision at Milestone A. </t>
  </si>
  <si>
    <t>A systematic study to gain knowledge, or understanding, necessary in order to determine the means by which a recognized and specific need may be met. From a manufacturing perspective this level is characterized by assessing the application of the manufacturing capabilities, capacities, or materials needed to meet the specific need.   Applied research translates basic research into solutions for broadly defined military needs.  Typically this level of readiness includes identification, paper studies and analysis of material and process approaches. An understanding of manufacturing feasibility and risk should be emerging at the point when a clear definition of how the technology fits into a military product with a good understanding of the risk at the completion of the product definition.</t>
  </si>
  <si>
    <t xml:space="preserve">A systematic study directed toward greater knowledge or understanding of the fundamental aspects of phenomena and of observable facts without specific applications toward processes or products in mind. It includes all scientific study and experimentation directed toward increasing fundamental knowledge and understanding in those fields of the physical, engineering, environmental, and life sciences related to long-term national security needs. It is farsighted, potentially high-payoff research that provides the basis for technological progress. </t>
  </si>
  <si>
    <t>A list of the subordinate parts (electronic, electrical, mechanical) in an assembly (e.g., an SRU/SRA or a subsystem assembly). An indentured BOM depicts the top-down breakout relationship of parts to the next higher assembly components (from system to box to board).  At this point, the BOM should be complete to allow for purchasing of components to be used in the Pilot Line build.</t>
  </si>
  <si>
    <t>The Capability Development Document (CDD) identifies operational performance attributes of the proposed system. The CDD is system specific and applies to a single increment of capability in an evolutionary acquisition program. Each increment of a program will either have its own CDD or a separate annex on a master CDD. Key Performance Parameters (KPP) are introduced in the CDD. Cost will be included in the CDD as life-cycle cost or, if available, total ownership costs. The format for the CDD is found at Appendix A to Enclosure F of the Manual for the Operation of the Joint Capabilities Integration and Development System, updated January 2012.   The CDD is prepared during the Technology Development phase to guide the Engineering &amp; Manufacturing Development phase by defining measurable and testable capabilities. The CDD supports the Milestone B decision and must be validated and approved before MS B.</t>
  </si>
  <si>
    <t>The Capability Production Document (CPD) identifies production attributes for a single increment of a program. The CPD is rewritten for each increment in an evolutionary acquisition program. Key Performance Parameters (KPP) and performance attributes are refined in the CPD. Cost and engineering estimates will also be refined in the CPD and will be presented as life-cycle cost.  The CPD is prepared during the Engineering &amp; Manufacturing Development phase to guide the Production and Deployment phase and is used to measure the contractor’s delivery.</t>
  </si>
  <si>
    <t>An ongoing effort to improve products, services or processes. These efforts can seek “incremental” improvement over time or “breakthrough” improvement all at once.  Among the most widely used tools for continuous improvement is a four-step quality model—the plan-do-check-act (PDCA) cycle, also known as Deming Cycle or Shewhart Cycle, and Lean/Six Sigma models for improvement.</t>
  </si>
  <si>
    <t xml:space="preserve">An unauthorized copy or substitute part that has been identified, marked, and/or altered by a source other than the part's legally authorized source without legal right or authority to do so or one whose material, performance, or characteristics are knowingly misrepresented by a supplier in the supply chain.  </t>
  </si>
  <si>
    <t>An item essential to system performance or operation or the preservation of life or safety of operating personnel. (Source:  Defense Logistics Agency Regulation 3200.3)</t>
  </si>
  <si>
    <t>A characteristic that is likely, if defective, to create or increase a hazard to human safety, or to result in failure of a system to perform a required function. (Source:  DoD-STD-2101)</t>
  </si>
  <si>
    <t xml:space="preserve">A CDR of a defined initial product baseline is conducted to support development of the prototype system, subsystems, assemblies, or components.  The CDR should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t>
  </si>
  <si>
    <t>A process that creates or substantially affects a key or critical characteristic.</t>
  </si>
  <si>
    <t>Materials that represent high availability, safety, mission performance, or quality risks to normal production rates or to maximum intended production rates.  They include semi-processed or finished parts with potential risk to a program due to problems such as long lead-time, manufacturing maturity, historic quality problems, foreign source, or diminishing domestic manufacturing source.</t>
  </si>
  <si>
    <t>Critical Parts:</t>
  </si>
  <si>
    <t>Critical Supplier</t>
  </si>
  <si>
    <t xml:space="preserve">  A contractor whose performance could seriously jeopardize the successful achievement of a program’s cost, schedule, technical, or supportability requirements if not satisfactorily managed (e.g., a sole source supplier or supplier of critical parts, strategic and critical materials, or unique or special processes.)</t>
  </si>
  <si>
    <t>Critical Technology (CT)</t>
  </si>
  <si>
    <t>Criticality</t>
  </si>
  <si>
    <t xml:space="preserve"> Characteristics that make a product or service difficult to replace if disrupted. Also, a relative measure of the consequences of a failure mode and its frequency of occurrence.</t>
  </si>
  <si>
    <t>Design for Assembly (DFA) /Design for Manufacturing (DFM)</t>
  </si>
  <si>
    <t xml:space="preserve"> Systematic analyses of the design of product, assembly, or subassembly to reduce product cost by simplifying its design, assembly, and manufacturing without impacting performance.  DFA focuses on products designed with ease of assembly in mind, such as reduction in number of parts or inclusion of self-orienting features.  DFM focuses on producibility and lowering costs for individual parts.</t>
  </si>
  <si>
    <t>Diminishing Manufacturing Sources and Material Shortages (DMSMS)</t>
  </si>
  <si>
    <t>Define, Measure, Analyze, Improve and Control (DMAIC)</t>
  </si>
  <si>
    <t xml:space="preserve"> DMAIC refers to a data-driven improvement cycle used for improving, optimizing and stabilizing business processes and designs.  All of the DMAIC process steps are required and always proceed in this order. The DMAIC improvement cycle is the core tool used to drive Six Sigma projects. DMAIC is not exclusive to Six Sigma and can be used as the framework for other improvement applications.</t>
  </si>
  <si>
    <t>Failure Modes and Effects Criticality Analysis (FMECA)</t>
  </si>
  <si>
    <t xml:space="preserve"> Procedure by which each potential failure mode is analyzed to determine its effects on the system and then classified according to its severity. It further attempts to identify all single points of failure; that is, those points where failure of the component can cause failure of the entire system.</t>
  </si>
  <si>
    <t>Failure Reporting And Corrective Action System (FRACAS)</t>
  </si>
  <si>
    <t xml:space="preserve"> A system, sometimes carried out using software, that provides a process for reporting, classifying, analyzing failures, and planning corrective actions in response to those failures. It is typically used in an industrial environment to collect data, record and analyze system failures. A FRACAS system may attempt to manage multiple failure reports that are recorded by numerous individuals in different ways. FRACAS produces a history of failure and corrective actions.</t>
  </si>
  <si>
    <t>First Article Inspection (FAI)</t>
  </si>
  <si>
    <t>First Article Testing (FAT)</t>
  </si>
  <si>
    <t>Fragility</t>
  </si>
  <si>
    <t xml:space="preserve"> Characteristics that make small deviations in the status quo likely to have substantial effects on an industry / supplier.</t>
  </si>
  <si>
    <t xml:space="preserve"> Production of economic quantities following stabilization of the system design and prove-out of the production process.</t>
  </si>
  <si>
    <t>Full-Rate Production /Deployment of Production &amp; Deployment Phase</t>
  </si>
  <si>
    <t xml:space="preserve">  The second effort of the Production and Deployment (P&amp;D) phase defined and established by DoDI 5000.2. This effort follows a successful Full Rate Production Decision Review (FRPDR). The system is produced at rate production and deployed to the field or fleet. This phase overlaps the Operations and Support (O&amp;S) phase since fielded systems are operated and supported (sustained) while Full Rate Production (FRP) is ongoing.</t>
  </si>
  <si>
    <t xml:space="preserve">  Property in the possession of, or directly acquired by, the Government and subsequently delivered to the Contractor for performance of a contract. </t>
  </si>
  <si>
    <t>Government-Industry Data Exchange Program (GIDEP)</t>
  </si>
  <si>
    <t xml:space="preserve"> A cooperative activity between government and industry participants seeking to reduce seeking to reduce or eliminate expenditures of resources by sharing technical information essential during research, design, development, production and operational phases of the life cycle of systems, facilities and equipment.</t>
  </si>
  <si>
    <t>Hazardous Material (HAZMAT)</t>
  </si>
  <si>
    <t>Industrial Base Capability Assessment (IBCA)</t>
  </si>
  <si>
    <t xml:space="preserve"> The development of the Acquisition Strategy should include results of industrial base capability (public and private) analysis to design, develop, produce, support, and, if appropriate, restart an acquisition program. This includes assessing manufacturing readiness and effective integration of industrial capability considerations into the acquisition process and acquisition programs. </t>
  </si>
  <si>
    <t>Initial Capabilities Document (ICD)</t>
  </si>
  <si>
    <t xml:space="preserve">  Summarizes a capabilities-based assessment (CBA) and recommends materiel or non-materiel approaches or a combination of materiel and non-materiel approaches to satisfy specific capability gaps. It identifies required capabilities and defines capability gap(s) in terms of the joint capability area, the relevant range of military operations; desired effects; time; doctrine, organization, training, materiel, leadership and education, personnel, and facilities (DOTMLPF); and policy implications and constraints. The ICD summarizes the results of DOTMLPF and policy analysis and the DOTMLPF approaches that may deliver the required capability. The outcome of an ICD could be one or more Joint DOTMLPF Change Recommendations (DCRs) or recommendations to pursue materiel solutions.</t>
  </si>
  <si>
    <t>Initial Technical Review (ITR)</t>
  </si>
  <si>
    <t xml:space="preserve">  A multi-disciplined technical review held early during the Materiel Solution Analysis (MSA) phase to support a program’s initial Program Objectives Memorandum (POM) submission. The review ensures that a program’s technical baseline is sufficiently rigorous to support a valid cost estimate (with acceptable cost risk), and enable an independent assessment of that estimate by cost, technical, and program management subject matter experts. </t>
  </si>
  <si>
    <t>Integrated Master Plan (IMP)</t>
  </si>
  <si>
    <t xml:space="preserve">  An event-driven plan that documents the significant accomplishments necessary to complete the work and ties each accomplishment to a key program event.</t>
  </si>
  <si>
    <t>Integrated Master Schedule (IMS)</t>
  </si>
  <si>
    <t xml:space="preserve">  An integrated and networked multi-layered schedule of program tasks required to complete the work effort captured in a related Integrated Master Plan (IMP). The IMS should include all IMP events and accomplishments and support each accomplishment closure criteria.</t>
  </si>
  <si>
    <t>International Traffic in Arms Regulations (ITAR)</t>
  </si>
  <si>
    <t xml:space="preserve">  Issued by the Department of State, control the export of defense-related articles and services, including technical data, ensuring compliance with the Arms Export Control Act (22 U.S.C. 2751 et seq.). The United States Munitions List (USML) identifies defense articles, services, and related technical data that are inherently military in character and could, if exported, jeopardize national security or foreign policy interests of the United States. </t>
  </si>
  <si>
    <t>Key Characteristic (KC)</t>
  </si>
  <si>
    <t>Key Performance Parameters (KPPs)</t>
  </si>
  <si>
    <t xml:space="preserve">  Those attributes or characteristics of a system that are considered critical or essential to the development of an effective military capability and that make a significant contribution to the characteristics of the future joint force. A KPP normally has a threshold representing the minimum acceptable value achievable at low-to-moderate risk, and an objective, representing the desired operational goal but at higher risk in cost, schedule, and performance. KPPs are contained in the Capability Development Document (CDD) and the Capability Production Document (CPD) and are included verbatim in the Acquisition Program Baseline (APB). </t>
  </si>
  <si>
    <t>Lean Manufacturing</t>
  </si>
  <si>
    <t xml:space="preserve">  A management philosophy that uses production tools and principles aimed at creating value for the end customer through the elimination of waste along the entire value stream.</t>
  </si>
  <si>
    <t xml:space="preserve">  A production control technique that combines features from a critical path scheduling timeline with a required delivery schedule presenting in graphic form information relating to time and accomplishment of production.  It shows the delivery objective, sequence and duration of all activities required to produce a product, the current status of production items, and, from this data, an assessment showing the relationship of actual component production to schedule.</t>
  </si>
  <si>
    <t>Long Term Agreements</t>
  </si>
  <si>
    <t xml:space="preserve"> Business arrangements between two parties (prime &amp; supplier) with long term goals to create program stability to the price and availability of material to reduce risk.   </t>
  </si>
  <si>
    <t xml:space="preserve">  The first effort of the Production and Deployment (P&amp;D) phase. This effort is intended to result in completion of manufacturing development in order to ensure adequate and efficient manufacturing capability and to produce the minimum quantity necessary to provide production or production-representative articles for Initial Operational Test and Evaluation (IOT&amp;E); establish an initial production base for the system; and permit an orderly increase in the production rate for the system, sufficient to lead to full-rate production (FRP) upon successful completion of operational (and live-fire, where applicable) testing. 2.) At Milestone B, the Milestone Decision Authority (MDA) determines the LRIP quantity for Major Defense Acquisition Programs (MDAPs) and major systems. The LRIP quantity for an MDAP (with rationale for quantities exceeding 10 percent of the total production quantity documented in the acquisition strategy) shall be included in the first Selected Acquisition Report (SAR) after its determination. The LRIP quantity shall not be less than one unit. The Director, Operational Test and Evaluation (DOT&amp;E), following consultation with the program manager (PM), determines the number of production or production- representative test articles required for live-fire test and evaluation (LFT&amp;E) and IOT&amp;E of programs on the Office of the Secretary of Defense (OSD) Operational Test and Evaluation (OT&amp;E) Oversight List. For a system that is not on the Oversight List, the operational test agency (OTA), following consultation with the PM, shall determine the number of test articles required for IOT&amp;E.</t>
  </si>
  <si>
    <t>Major Supplier</t>
  </si>
  <si>
    <t xml:space="preserve">  A supplier, distributor, vendor, or firm that furnishes supplies or services to or for the prime contractor whose total costs are a significant portion of the total purchased value for the program.  </t>
  </si>
  <si>
    <t>Make/Buy Decisions</t>
  </si>
  <si>
    <t xml:space="preserve">  That part of a contractor’s written plan for the development or production of an end item that outlines the subsystems, major components, assemblies, subassemblies, and parts the contractor intends to manufacture, test-treat, or assemble (make); and those the contractor intends to purchase from others (buy).</t>
  </si>
  <si>
    <t>Manufacturability</t>
  </si>
  <si>
    <t xml:space="preserve">  The acts, crafts, processes, and methods used to transform tangible inputs such as raw materials, semi-finished goods, and sub-assemblies into goods or services that are suitable for use or have exchange value.</t>
  </si>
  <si>
    <t>Manufacturing Management</t>
  </si>
  <si>
    <t xml:space="preserve">  The techniques of planning, organizing, directing, coordinating, and controlling the use of people, money, materials, equipment, research and development, methods and processes, and facilities to manufacture products.</t>
  </si>
  <si>
    <t>Manufacturing Management System</t>
  </si>
  <si>
    <t xml:space="preserve">  The integrated collection of the people, processes, policies, information systems, and other tools required to plan, execute, and manage manufacturing operations, including the integration of corresponding supplier activities. </t>
  </si>
  <si>
    <t>Manufacturing Maturation Plan (MMP)</t>
  </si>
  <si>
    <t xml:space="preserve"> A documented risk mitigation plan for an area of manufacturing risk.  The plan describes the actions necessary to achieve the target Manufacturing Readiness Level, including required schedule and resources (e.g. personnel, funding, facilities, and equipment.)</t>
  </si>
  <si>
    <t>Manufacturing Readiness Levels (MRLs)</t>
  </si>
  <si>
    <t xml:space="preserve"> Manufacturing readiness criteria used to assess manufacturing risk, readiness, and producibility.  MRLs provide a common understanding of the relative maturity, identification and mitigation of manufacturing risks associated with manufacturing technologies, products, and processes.  Refer to the DoD MRL Deskbook for additional information.</t>
  </si>
  <si>
    <t>Material Resource Planning (MRP) System</t>
  </si>
  <si>
    <t>Material</t>
  </si>
  <si>
    <t xml:space="preserve">  Includes raw material, components, and sub-systems. (Sometimes spelled "materiel")</t>
  </si>
  <si>
    <t>Material Review Board (MRB)</t>
  </si>
  <si>
    <t xml:space="preserve">  Representatives of contractor and customer departments necessary to review, evaluate, and determine or recommend disposition of nonconforming material.</t>
  </si>
  <si>
    <t>Non Recurring Engineering (NRE)</t>
  </si>
  <si>
    <t xml:space="preserve"> Refers to the one time cost to research, design, develop and test a new product or product enhancement.</t>
  </si>
  <si>
    <t>Physical Configuration Audit (PCA)</t>
  </si>
  <si>
    <t>Pilot Line Environment</t>
  </si>
  <si>
    <t xml:space="preserve">  A manufacturing environment that incorporates all of the key production realism elements (equipment, personnel skill levels, facilities, materials, components, work instructions, processes, tooling, temperature, cleanliness, lighting, etc.) required to manufacture production configuration items, subsystems or systems that meet design requirements in low rate production.</t>
  </si>
  <si>
    <t>Predictive Indicator</t>
  </si>
  <si>
    <t xml:space="preserve">  A set of internal process metrics that can provide quality and delivery forecasts, are actionable, and are indicative of the overall “health” of the organization’s and suppliers’ performance.</t>
  </si>
  <si>
    <t>Preliminary Design Review (PDR)</t>
  </si>
  <si>
    <t xml:space="preserve"> the PDR is a multi-disciplined technical review to ensure that a system is ready to proceed into detailed design and can meet stated performance requirements within cost (program budget), schedule (program schedule), risk, and other system constraints. Generally, this review assesses the system preliminary design as captured in performance specifications for each configuration item (CI) in the system (allocated baseline), and ensures that each function in the functional baseline has been allocated to one or more system CIs. Normally conducted during the Technology Development (TD) phase, but may also be conducted early in the Engineering and Manufacturing Development (EMD) phase.</t>
  </si>
  <si>
    <t>Process Capability (Cp/Cpk)</t>
  </si>
  <si>
    <t xml:space="preserve">  Is a measure the process capability, not of what it is doing.  Process capability compares the output of an in-control process to the specification limits by using capability indices. The comparison is made by forming the ratio of the spread between the process specifications (the specification "width") to the spread of the process values, as measured by 6 process standard deviation units (the process "width").  Cpk is short term and assumes that the process is centered.</t>
  </si>
  <si>
    <t>Process Capability Index (Cpk)</t>
  </si>
  <si>
    <t xml:space="preserve">  A statistical measure of the ability of a process to produce output within the specification limits. </t>
  </si>
  <si>
    <t>Producibility</t>
  </si>
  <si>
    <t xml:space="preserve"> A design attribute that enables manufacturing to repeatedly fabricate and assemble hardware which satisfies both functional and physical objectives at an optimum cost and within schedule.</t>
  </si>
  <si>
    <t>Product Quality</t>
  </si>
  <si>
    <t xml:space="preserve">  The collection of features and characteristics of a product that contribute to its ability to meet given requirements.  Product quality is measured by the degree of conformance to predetermined specifications and standards, and deviations from these standards can lead to poor quality and low reliability.  The identification of the predetermined specifications and standards sets the stage for quality control and then for quality improvement which is aimed at eliminating defects (components and subsystems that are out of conformance), the need for scrap and rework, and hence overall reductions in production costs.</t>
  </si>
  <si>
    <t>Production</t>
  </si>
  <si>
    <t xml:space="preserve"> The processes and methods used to transform raw materials, semi-finished goods, sub-assemblies, ideas, information, and knowledge into goods or services that are suitable for use or have exchange value.  Also, a life cycle phase where non-prototype, requirements-compliant products are being manufactured for customer delivery.</t>
  </si>
  <si>
    <t>Production Cost Model</t>
  </si>
  <si>
    <t xml:space="preserve"> A framework for incorporating the combined total of raw material and direct labor costs and burden incurred in the production phase of a program including scrap, rework, and repair costs incorporating learning curves over the  production run.</t>
  </si>
  <si>
    <t>Production Line</t>
  </si>
  <si>
    <t xml:space="preserve"> An environment that incorporates all verified capabilities required to manufacture production configuration items, subsystems, or systems that meet design requirements utilizing manufacturing processes and procedures that are under control (i.e., PPVs and FAIs/FATs have been satisfactorily completed) and capable of meeting required rate and quantities.</t>
  </si>
  <si>
    <t>Production Process Verification (PPV)</t>
  </si>
  <si>
    <t xml:space="preserve">  The use of a representative item from the first production run of a new part or assembly to verify that the production processes, production documentation and tooling are capable of producing parts and assemblies that meet requirements.</t>
  </si>
  <si>
    <t>Production Readiness Review (PRR)</t>
  </si>
  <si>
    <t xml:space="preserve">  An environment with some shop floor production realism present (such as facilities, personnel, tooling, processes, materials etc.). There should be minimum reliance on laboratory resources during this phase. Demonstration in a production relevant environment implies that contractor(s) must demonstrate their ability to meet the cost, schedule, and performance requirements of the EMD Phase based on their production of prototypes. The demonstration must provide the program with confidence that these targets will be achieved, but does not require a production line. Furthermore, there must be an indication of how the contractor(s) intend to achieve the requirements in a production representative and pilot environments.</t>
  </si>
  <si>
    <t xml:space="preserve">  An environment that has as much production realism as possible, considering the maturity of the design. Production personnel, equipment, processes, and materials that will be present on the pilot line should be used whenever possible. The work instructions and tooling should be of high quality, and the only changes anticipated on these items are associated with design changes downstream that address performance or production rate issues. There should be no reliance on a laboratory environment or personnel.</t>
  </si>
  <si>
    <t>Prototype</t>
  </si>
  <si>
    <t xml:space="preserve"> An early sample or model built to test a concept or process. Prototyping serves to provide specifications for a real, working system rather than a theoretical one. Prototypes are not similar to units built on previous programs but is directly tied to your design concept and limitations (e.g. must relate to your design requirements).</t>
  </si>
  <si>
    <t>Quality Metrics</t>
  </si>
  <si>
    <t xml:space="preserve">  A package of charts displaying information about the performance of the design and production systems relating to quality.  This package differs for each program, but the metrics should remain consistent through each phase of the acquisition lifecycle in order to facilitate the identification of quality trends over time.  The metrics package is made up of individual charts, each of which should provide important and unique insight into the design and/or production system’s performance.   </t>
  </si>
  <si>
    <t>Quality Strategy</t>
  </si>
  <si>
    <t xml:space="preserve">  The planned approach to assuring quality throughout the development, production, and support of the product or system.  Items considered during development of a Quality Strategy include design for Quality, inspection plan, statistical sampling plan, defect prevention strategy, acceptance testing, and product acceptance plan.</t>
  </si>
  <si>
    <t>Quality Management System (QMS)</t>
  </si>
  <si>
    <t xml:space="preserve">  A formalized system to that organizes activities used to direct and control an organization with regard to quality.</t>
  </si>
  <si>
    <t>Registration, Evaluation, Authorization and Restriction of Chemicals (REACH)</t>
  </si>
  <si>
    <t xml:space="preserve"> REACH is a regulation of the European Union, adopted to protect human health and the environment from the risks that can be posed by over 140,000 chemicals.  REACH is comparable to the U.S. Toxic Substances Control (TSC) Act. </t>
  </si>
  <si>
    <t>Relevant Environment</t>
  </si>
  <si>
    <t xml:space="preserve">  Competitive Prototyping and other types of technology maturation need to consider the relevant environment in their planned development applications. The Technology Development Strategy should identify the relevant environment including potential threats against the capabilities desired and the physical environment (altitude, temperature, vibration, electro-magnetic, etc…), within which the materiel solution needs to operate.</t>
  </si>
  <si>
    <t>Risk</t>
  </si>
  <si>
    <t xml:space="preserve"> A measure of future uncertainties in achieving program performance goals and objectives within defined cost, schedule, and performance constraints.</t>
  </si>
  <si>
    <t>Risk Management</t>
  </si>
  <si>
    <t xml:space="preserve">  The overarching process that encompasses identification, analysis, mitigation planning, mitigation plan implementation, and tracking of program risks. </t>
  </si>
  <si>
    <t>Robust Requirements Flow Down</t>
  </si>
  <si>
    <t xml:space="preserve"> A process that ensures the sub-tier suppliers are formally made aware of the customer engineering standards/specifications and product requirements and there is an official and timely communication channel with the supplier concerning any changes.</t>
  </si>
  <si>
    <t>System Engineering Management Plan (SEMP)</t>
  </si>
  <si>
    <t xml:space="preserve"> A document that addresses a contractors overall system engineering management approach. It provides unique insight into the  application of a contractor's standards, capabilities models, configuration management, and toolsets to their organization. </t>
  </si>
  <si>
    <t>Shelf Life</t>
  </si>
  <si>
    <t xml:space="preserve">  The expected length of time in inventory (use) for a system, component, or subassembly.</t>
  </si>
  <si>
    <t>Should Cost model</t>
  </si>
  <si>
    <t xml:space="preserve"> A cost model that reflects what it should cost if a program were effectively managed. Leaders should be driving productivity improvement in their programs. “They should be scrutinizing every element of program cost, assessing whether each element can be reduced relative to the year before, challenging learning curves, dissecting overheads and indirect costs, and targeting cost reduction with profit incentive – in short, executing to what the program should cost… </t>
  </si>
  <si>
    <t>Should Cost Estimate</t>
  </si>
  <si>
    <t xml:space="preserve">  An estimate of contract price that reflects reasonably achievable contractor economy and efficiency. It is accomplished by a government team of procurement, contract administration, audit and engineering representatives performing an in-depth cost analysis at the contractor’s and subcontractor’s plants. Its purpose is to develop a realistic price objective for negotiation purposes.</t>
  </si>
  <si>
    <t>Single Source</t>
  </si>
  <si>
    <t xml:space="preserve">  Choosing a specific company and bypassing the competition refers to single sourcing. Different suppliers and distributors typically produce and sell similar merchandise. This is advantageous to companies that purchase supplies because they can choose among various companies. However, after a thorough analysis of possible suppliers, company heads, managers or owners may choose to sign with a single company and pass up the opportunity to work with other suppliers. This decision could be based on price or the quality of products.</t>
  </si>
  <si>
    <t>Six Sigma (6s)</t>
  </si>
  <si>
    <t xml:space="preserve">  Is a management system and business philosophy that is customer focused, data driven, and process oriented focusing on decisions that target business results (excellence). 6s was developed by the Motorola Corporation in the 1980’s to improve quality, reliability and manufacturing performance.  6s is a methodology for continuous improvement focusing on structured problem solving using the DMAIC process.  6s is also a metric that equates to 3.4 defects per million opportunities, or a 99.99966% yield (accounts for process shifts), or a process capability of either Cp equal to or greater than 2.0, or Cpk equal to or greater than 1.5.</t>
  </si>
  <si>
    <t>Sole Source Contract</t>
  </si>
  <si>
    <t xml:space="preserve">  Sole-sourcing contracts vary from single-sourcing contracts, with sole sourcing, there are no options. Companies may search for multiple suppliers and distributors for a product or service, then discover only one vendor is capable of producing the product. </t>
  </si>
  <si>
    <t>Six Sigma Process</t>
  </si>
  <si>
    <t xml:space="preserve"> The application of statistical and mathematical tools to improve the quality of mature and well-controlled manufacturing processes.</t>
  </si>
  <si>
    <t>Special Requirements</t>
  </si>
  <si>
    <t xml:space="preserve"> Those requirements which have high risks to being achieved, thus requiring their inclusion in the risk management process.  Special requirements may force you to operate at or near the limit of your organizations manufacturing capability.  (AS 9100C)</t>
  </si>
  <si>
    <t>Special Storage</t>
  </si>
  <si>
    <t xml:space="preserve">  Infers the short- or long-term storing of items. Storage can be accomplished in either temporary or permanent facilities.  Special storage could include the need for refrigeration, humidity controls, etc.</t>
  </si>
  <si>
    <t>Specialized Facilities</t>
  </si>
  <si>
    <t xml:space="preserve">  Facilities required to produce a specific product at tolerances, speeds, rates, configurations, materials, environment (e.g., temperatures, clean room, etc.) that have not been done by the contractor proposing to build this alternative.</t>
  </si>
  <si>
    <t xml:space="preserve">  A methodology utilizing statistical and graphical tools to achieve process stability and improve capability by reducing variability.</t>
  </si>
  <si>
    <t>Strategic and Critical Materials</t>
  </si>
  <si>
    <t xml:space="preserve">  Materials not found or produced in the domestic industrial base in sufficient quantities to meet program manufacturing needs.  “Domestic industrial base” refers to the North American industrial base for DoD applications; for commercial applications, the term is defined by the organization.  Strategic and critical materials include any raw material in short supply, limited domestic production, or otherwise posing a risk to a production program.</t>
  </si>
  <si>
    <t>Supplier Capability</t>
  </si>
  <si>
    <t xml:space="preserve"> The supply chain has already manufactured and delivered similar product, or has the capability to produce the intended product without major impact to cost, schedule or performance and with the requisite quality achievements.</t>
  </si>
  <si>
    <t>Supplier Survey</t>
  </si>
  <si>
    <t xml:space="preserve"> A list of questions/topics for suppliers that can assist in determining their potential technical and financial capabilities. The survey will address the gaps that might be present in the supply chain from a technical, material and process perspective.  </t>
  </si>
  <si>
    <t>Supply Chain (Manufacturing or Production)</t>
  </si>
  <si>
    <t xml:space="preserve"> The linked network of all organizations, resources, activities, and technology associated with the production of finished products, encompassing the tiers of subcontractors contributing their individual stages of manufacturing processing and manufactured components or subassemblies to the final product as assembled and delivered to the customer.</t>
  </si>
  <si>
    <t>Surge</t>
  </si>
  <si>
    <t xml:space="preserve"> An increase in the rate of output for a limited period of time to meet sudden and heavy demand (such as in wartime) through multiple work shifts and/or expansion of the production capacity.</t>
  </si>
  <si>
    <t>System Engineering Plan (SEP)</t>
  </si>
  <si>
    <t xml:space="preserve"> The purpose of the SEP is to help Government Program Managers develop, communicate, and manage the overall systems engineering (SE) approach that guides all technical activities of the program. The SEP documents key technical risks, processes, resources, metrics, SE products, and completed and scheduled SE activities. The SEP is a living document that should be updated as needed to reflect the program’s evolving SE approach and/or plans and current status.  Manufacturing and Quality Assurance Plans should be incorporated into the SEP. </t>
  </si>
  <si>
    <t>Takt Time</t>
  </si>
  <si>
    <t>Technology Readiness Assessment (TRA)</t>
  </si>
  <si>
    <t xml:space="preserve"> A statutory requirement for Major Defense Acquisition Programs (MDAPs) and a regulatory information requirement for all other acquisition programs. It is a systematic, metrics-based process that establishes the maturity of critical technology elements. The TRA may be conducted concurrently with other technical reviews such as the Alternative Systems Review (ASR), System Requirements Review (SRR), or the Production Readiness Review (PDR). The Defense Director for Research and Engineering (DDR&amp;E) is required to conduct an independent TRA of MDAPs prior to Milestone B.</t>
  </si>
  <si>
    <t>Variability</t>
  </si>
  <si>
    <t xml:space="preserve">  Natural and induced deviations from a target specification caused by controllable and uncontrollable influences.</t>
  </si>
  <si>
    <t xml:space="preserve">  A systematic approach to reducing product and process variability in order to improve cost, schedule, and performance.</t>
  </si>
  <si>
    <t xml:space="preserve"> A part or assembly whose failure or malfunction could cause a catastrophic or critical failure resulting in loss of life, permanent disability or major injury, loss of a system, or significant equipment damage.  (Source  Defense Acquisition Guide)</t>
  </si>
  <si>
    <t xml:space="preserve">  The available production time divided by customer demand. Takt time was derived from the German word Taktzeit, translated best as meter, sets the pace for industrial manufacturing lines so that production cycle times can be matched to customer demand rate.  Example of Takt time.  (60 minutes available)/200 units = 18 seconds</t>
  </si>
  <si>
    <t xml:space="preserve"> For commercial applications, the following definition applies  The collection of data enabling design, production, delivery, and/or maintenance that communicates a customer’s product definition, performance criteria, and method of verification to the source(s) of the deliverable. (Source   AIA/NAS 3500)</t>
  </si>
  <si>
    <t xml:space="preserve"> For DoD applications, the following definition applies   A technical description of an item adequate for supporting an acquisition, production, engineering, and logistics support (e.g., Engineering Data for Provisioning, Training, and Technical Manuals). The description defines the required design configuration or performance requirements, and procedures required to ensure adequacy of item performance. It consists of applicable technical data such as models, drawings, associated lists, specifications, standards, performance requirements, quality assurance provisions, software documentation and packaging details. (Source   MIL-STD-31000)</t>
  </si>
  <si>
    <t xml:space="preserve">Acquisition Strategy: </t>
  </si>
  <si>
    <t xml:space="preserve">Advanced Technology Development: </t>
  </si>
  <si>
    <t xml:space="preserve">Affordability:  </t>
  </si>
  <si>
    <t xml:space="preserve">Alternative Systems Review (ASR): </t>
  </si>
  <si>
    <t xml:space="preserve">Analysis of Alternatives (AoA): </t>
  </si>
  <si>
    <t xml:space="preserve">Applied Research: </t>
  </si>
  <si>
    <t xml:space="preserve">Basic Research: </t>
  </si>
  <si>
    <t xml:space="preserve">Bill of Materials (BOM):  </t>
  </si>
  <si>
    <t xml:space="preserve">Capability Development Document (CDD):  </t>
  </si>
  <si>
    <t xml:space="preserve">Capability Production Document (CPD): </t>
  </si>
  <si>
    <t xml:space="preserve">Continuous Improvement:  </t>
  </si>
  <si>
    <t xml:space="preserve">Counterfeit Part: </t>
  </si>
  <si>
    <t xml:space="preserve">Critical Application Item:  </t>
  </si>
  <si>
    <t xml:space="preserve">Critical Characteristic:  </t>
  </si>
  <si>
    <t xml:space="preserve">Critical Design Review (CDR):  </t>
  </si>
  <si>
    <t xml:space="preserve">Critical Manufacturing Process:  </t>
  </si>
  <si>
    <t xml:space="preserve">  Technologies that consist of  (a) arrays of design and manufacturing know-how (including technical data (TD)); (b) keystone manufacturing, inspection, and test equipment; (c) keystone materials; and (d) goods accompanied by sophisticated operation, application, or maintenance know-how that would make a significant contribution to the military potential of any country or combination of countries and that may prove detrimental to the security of the United States. </t>
  </si>
  <si>
    <t xml:space="preserve"> A complete, independent, and documented physical and functional inspection to verify that prescribed production methods have produced a conforming item as specified by contract, engineering drawings, planning, purchase order, engineering specifications, and/or other applicable design documents.  Independent inspections refer to the inspection being performed by someone other than the person building the product. (Source   AS9102)</t>
  </si>
  <si>
    <t xml:space="preserve"> Testing and evaluating the first article for conformance with specified contract requirements before or in the initial stage of production.  (Source   Federal Acquisition Regulations, Subpart 2.101)</t>
  </si>
  <si>
    <t xml:space="preserve">  Any material that due to its chemical, physical, or biological nature that causes safety, public health, or environmental concerns (source   NAS 411) .  Over 83,000 chemicals have been identified under the Toxic Substances Control Act and over 143,000 chemicals have been identified under a similar European Law called Registration, Evaluation, Authorization, and Restrictions of Chemicals (REACH).</t>
  </si>
  <si>
    <t xml:space="preserve">  The features of a material or part whose variation has a significant influence on product fit, performance, service life, or manufacturability.  (Source   AS9103)</t>
  </si>
  <si>
    <t xml:space="preserve"> The MRP system is a production and inventory control software tool to assist in the management of manufacturing processes. Based on sales forecast and backlog, the MRP takes information from three sources to include the Master Production Schedule (MPS), the bill-of-materials (BOM) and inventory status data as inputs to calculate the answer to these questions  (1) What parts do we need to make or buy (Purchasing Plan)? (2) How many of these parts do we need (Capacity Plan)? (3) When must these parts be available (Detailed Manufacturing Schedule)?</t>
  </si>
  <si>
    <t xml:space="preserve">  A Physical Configuration Audit (PCA) is used to examine the actual configuration of the CI that is representative of the product configuration in order to verify that the related design documentation matches the design of the deliverable CI. In performance based acquisition environment, the PCA addresses the accuracy of the documentation reflecting the production design. It is also used to validate many of the supporting processes that the contractor uses in the production of the CI. The PCA is also used to verify that any elements of the CI that were redesigned after the completion of the FCA also meet the requirements of the CI's performance specification. In cases where the Government does not plan to control the detail design, it is still essential that the contractor conduct an internal PCA to define the starting point for controlling the production design and to establish a product baseline. Additional PCAs may be accomplished later during CI production if circumstances such as the following apply  (1) The original production line is "shut down" for several years and then production is restarted; (2) The production contract for manufacture of a CI with a fairly complex, or difficult-to-manufacture, design is awarded to a new contractor or vendor; (3) This re-auditing in these circumstances is advisable regardless of whether the contractor or the government controls the detail production design.</t>
  </si>
  <si>
    <t xml:space="preserve"> A formal examination of a program to determine if the design is ready for production, if manufacturing problems have been resolved, and if the organization has adequately planned for the production phase.  PRRs address  management, industrial resources, facilities, design/product engineering, materials and purchased parts, manufacturing, production engineering and planning, quality, reliability, test, software, logistics and training, process improvement, schedule, contracts, cost, and funding.</t>
  </si>
  <si>
    <t xml:space="preserve"> The characteristics considered in the design cycle that focus on process capabilities, machine or facility flexibility, and the overall ability to consistently produce at the required level of cost and quality. Associated activities may include some or all of the following  Design for commonality and standardization—uses fewer parts; Design for environmental and safety compliance; Design for multi-use and dual-use applications; Design for modularity and plug compatible interface/integration; Design for flexibility/adaptability or use “robust design”; Utilize reliable processes and materials; Utilize monolithic and determinant assembly; Design for manufacturing and assembly; Achieve production yield.</t>
  </si>
  <si>
    <t>Definitons</t>
  </si>
  <si>
    <t xml:space="preserve">MRL Users Guide </t>
  </si>
  <si>
    <t>Introduction</t>
  </si>
  <si>
    <r>
      <t xml:space="preserve">(1) This first worksheet is the MRL Users Guide </t>
    </r>
    <r>
      <rPr>
        <b/>
        <sz val="11"/>
        <color theme="1"/>
        <rFont val="Calibri"/>
        <family val="2"/>
        <scheme val="minor"/>
      </rPr>
      <t>Introduction.</t>
    </r>
  </si>
  <si>
    <t>Layout of the Users Guide</t>
  </si>
  <si>
    <t>The Thread designation (e.g., A1, B2, etc.) and MRL Number (1 through 10) will appear at the top.</t>
  </si>
  <si>
    <t>The associated text (criteria) of the cell from the MRL Matrix will appear in the next block. These are for reference to let you know which cell you are viewing.</t>
  </si>
  <si>
    <t>To activate the Users Guide</t>
  </si>
  <si>
    <r>
      <t>Check the  "</t>
    </r>
    <r>
      <rPr>
        <b/>
        <sz val="11"/>
        <color theme="1"/>
        <rFont val="Calibri"/>
        <family val="2"/>
        <scheme val="minor"/>
      </rPr>
      <t>Enable content</t>
    </r>
    <r>
      <rPr>
        <sz val="11"/>
        <color theme="1"/>
        <rFont val="Calibri"/>
        <family val="2"/>
        <scheme val="minor"/>
      </rPr>
      <t>" and "</t>
    </r>
    <r>
      <rPr>
        <b/>
        <sz val="11"/>
        <color theme="1"/>
        <rFont val="Calibri"/>
        <family val="2"/>
        <scheme val="minor"/>
      </rPr>
      <t>Enable pop-up text</t>
    </r>
    <r>
      <rPr>
        <sz val="11"/>
        <color theme="1"/>
        <rFont val="Calibri"/>
        <family val="2"/>
        <scheme val="minor"/>
      </rPr>
      <t xml:space="preserve">" boxes at the top.  </t>
    </r>
  </si>
  <si>
    <t xml:space="preserve">Click on a cell to display information about that cell or topic. If the cell contains more information than can be displayed on a single screen, you can scroll up or down by using the bar at the right hand side of the window or the up and down arrow keys on your keyboard.  </t>
  </si>
  <si>
    <t>Note: If your screen resolution does not permit you to view the entire data sheet you also have the option to display the entire form as a tabbed page (the background will not be visible if you choose this option).</t>
  </si>
  <si>
    <t>MRL Matrix Information Pop Up Information</t>
  </si>
  <si>
    <t xml:space="preserve">Purpose- The intent for doing the assessment for this particular sub-thread at this point in the life-cycle and the reason for doing the assessment of this particular thread at this point, i.e., what requirements/documents/procedures drive the assessment? </t>
  </si>
  <si>
    <t>Sources of Information-  This is where data can be collected for a particular MRL Assessment at that stage of the product life-cycle.</t>
  </si>
  <si>
    <t xml:space="preserve">Additional Considerations-   Sometimes from past experience, services or industry have optional questions they may want to ask for specific threads or sub-threads at specific times in the life-cycle.  </t>
  </si>
  <si>
    <t>Lessons Learned-  These are particular lessons derived from past experience of personnel doing risk assessments in this particular sub-thread at this specific point in the product life-cycle. These may also change as people gain more experience doing assessments of manufacturing risk and readiness.</t>
  </si>
  <si>
    <t xml:space="preserve">How to use the MRL Users Guide </t>
  </si>
  <si>
    <r>
      <t xml:space="preserve">(3) The third worksheet is a </t>
    </r>
    <r>
      <rPr>
        <b/>
        <sz val="11"/>
        <color theme="1"/>
        <rFont val="Calibri"/>
        <family val="2"/>
        <scheme val="minor"/>
      </rPr>
      <t>definitions</t>
    </r>
    <r>
      <rPr>
        <sz val="11"/>
        <color theme="1"/>
        <rFont val="Calibri"/>
        <family val="2"/>
        <scheme val="minor"/>
      </rPr>
      <t xml:space="preserve"> list of terms typically used in the acquisition and manufacturing readiness assessment process.</t>
    </r>
  </si>
  <si>
    <r>
      <t xml:space="preserve">(4) The fourth worksheet is a </t>
    </r>
    <r>
      <rPr>
        <b/>
        <sz val="11"/>
        <color theme="1"/>
        <rFont val="Calibri"/>
        <family val="2"/>
        <scheme val="minor"/>
      </rPr>
      <t>list of acronyms</t>
    </r>
    <r>
      <rPr>
        <sz val="11"/>
        <color theme="1"/>
        <rFont val="Calibri"/>
        <family val="2"/>
        <scheme val="minor"/>
      </rPr>
      <t xml:space="preserve"> commonly used in the acquisition process.</t>
    </r>
  </si>
  <si>
    <r>
      <t xml:space="preserve">(5) The fifth worksheet contains the standard 11' x 17" </t>
    </r>
    <r>
      <rPr>
        <b/>
        <sz val="11"/>
        <color theme="1"/>
        <rFont val="Calibri"/>
        <family val="2"/>
        <scheme val="minor"/>
      </rPr>
      <t>MRL</t>
    </r>
    <r>
      <rPr>
        <sz val="11"/>
        <color theme="1"/>
        <rFont val="Calibri"/>
        <family val="2"/>
        <scheme val="minor"/>
      </rPr>
      <t xml:space="preserve"> </t>
    </r>
    <r>
      <rPr>
        <b/>
        <sz val="11"/>
        <color theme="1"/>
        <rFont val="Calibri"/>
        <family val="2"/>
        <scheme val="minor"/>
      </rPr>
      <t>Printable Matrix</t>
    </r>
    <r>
      <rPr>
        <sz val="11"/>
        <color theme="1"/>
        <rFont val="Calibri"/>
        <family val="2"/>
        <scheme val="minor"/>
      </rPr>
      <t xml:space="preserve"> for those who wish to view or print the entire matrix as hard copy. (</t>
    </r>
    <r>
      <rPr>
        <i/>
        <sz val="11"/>
        <color theme="1"/>
        <rFont val="Calibri"/>
        <family val="2"/>
        <scheme val="minor"/>
      </rPr>
      <t>Note: Your printer must first be formatted for the desired size paper and the size adjusted appropriately.</t>
    </r>
    <r>
      <rPr>
        <sz val="11"/>
        <color theme="1"/>
        <rFont val="Calibri"/>
        <family val="2"/>
        <scheme val="minor"/>
      </rPr>
      <t xml:space="preserve">) </t>
    </r>
  </si>
  <si>
    <r>
      <t xml:space="preserve">(6) The sixth worksheet  is the </t>
    </r>
    <r>
      <rPr>
        <b/>
        <sz val="11"/>
        <color theme="1"/>
        <rFont val="Calibri"/>
        <family val="2"/>
        <scheme val="minor"/>
      </rPr>
      <t>Questionnaire</t>
    </r>
    <r>
      <rPr>
        <sz val="11"/>
        <color theme="1"/>
        <rFont val="Calibri"/>
        <family val="2"/>
        <scheme val="minor"/>
      </rPr>
      <t xml:space="preserve"> which contains a complete list of questions (criteria), derived from the MRL Matrix, to be used in assessments of manufacturing readiness.  This list of questions is NOT intended to be answered in its entirety! It should be tailored to the system, subsystem, or component being assessed and be limited to questions focused on the target MRL or one level lower. </t>
    </r>
    <r>
      <rPr>
        <i/>
        <sz val="11"/>
        <color theme="1"/>
        <rFont val="Calibri"/>
        <family val="2"/>
        <scheme val="minor"/>
      </rPr>
      <t>Make sure filters are turned "ON" under "Data" and "Filter".</t>
    </r>
  </si>
  <si>
    <t>A.1 - Industrial Base</t>
  </si>
  <si>
    <t>F.1 - Quality Management</t>
  </si>
  <si>
    <t>G - Manufacturing Workforce</t>
  </si>
  <si>
    <t>G.1 - Manufacturing Workforce</t>
  </si>
  <si>
    <t>I.1 - Manufacturing Planning &amp; Scheduling</t>
  </si>
  <si>
    <t xml:space="preserve"> The cells down Column A provide information about the specific threads that are traced in that row of the matrix. </t>
  </si>
  <si>
    <r>
      <t xml:space="preserve">(2) The second worksheet is the digital </t>
    </r>
    <r>
      <rPr>
        <b/>
        <sz val="11"/>
        <color theme="1"/>
        <rFont val="Calibri"/>
        <family val="2"/>
        <scheme val="minor"/>
      </rPr>
      <t>MRL Users Guide</t>
    </r>
    <r>
      <rPr>
        <sz val="11"/>
        <color theme="1"/>
        <rFont val="Calibri"/>
        <family val="2"/>
        <scheme val="minor"/>
      </rPr>
      <t xml:space="preserve">. This Guide has the capability to display detailed information about the MRL or Product Life Cycle by simply clicking on a given cell or icon for which information is desired. </t>
    </r>
  </si>
  <si>
    <t xml:space="preserve"> The cells and icons in Rows 2 through 6 display information about the phases of the Product Life Cycle, Acquisition Reviews, Acquisition Milestone descriptions, MRL and TRL definitions and background information for that stage of the product life-cycle. </t>
  </si>
  <si>
    <t>Are the product requirements and features well enough defined to support Preliminary Design Review (PDR)?</t>
  </si>
  <si>
    <t>FRACAS</t>
  </si>
  <si>
    <t>TMRR</t>
  </si>
  <si>
    <t>IAW</t>
  </si>
  <si>
    <t>Have all Special Test Equipment (STE) / Special Inspection equipment (SIE) been validated as part of pilot line validation In Accordance With (IAW) validation plan?</t>
  </si>
  <si>
    <t>Do the program/projects have reasonable budget estimates for reaching MRL 4 by Milestone (MS) A?</t>
  </si>
  <si>
    <t>Required manufacturing technology development efforts initiated.</t>
  </si>
  <si>
    <t xml:space="preserve">Producibility improvements implemented on system. Known producibility risks and issues managed for LRIP. </t>
  </si>
  <si>
    <t>Product design and features are well enough defined to support CDR, even though design change traffic may be significant. All product data essential for component manufacturing released. Potential KC risks and issues identified with mitigation plans in place.</t>
  </si>
  <si>
    <t>Cost model updated with results of pilot line build.</t>
  </si>
  <si>
    <t>Costs analyzed using prototype system/sub-system actuals to ensure target costs are achievable. Cost targets allocated to subsystems. Cost reduction and avoidance strategies developed. Manufacturing cost drivers for "Should-Cost" model provided.</t>
  </si>
  <si>
    <t xml:space="preserve">Materials controlled to specifications in FRP. </t>
  </si>
  <si>
    <t xml:space="preserve">ESH compliance risk identified. List of hazardous materials identified and alternatives evaluated. Special handling procedures applied in the lab. Special handling concerns assessed. </t>
  </si>
  <si>
    <t>Initial modeling &amp; simulations (product or process) developed at the component level and used to determine constraints.</t>
  </si>
  <si>
    <t>Initial modeling &amp; simulations developed at the sub-system or system level, and used to determine system constraints.</t>
  </si>
  <si>
    <t xml:space="preserve">Modeling &amp; simulations used to determine system constraints and to identify improvement opportunities. </t>
  </si>
  <si>
    <t xml:space="preserve">Modeling &amp; simulations verified by pilot line build. Results used to improve process and demonstrate that LRIP requirements can be met. </t>
  </si>
  <si>
    <t>F - Quality</t>
  </si>
  <si>
    <t xml:space="preserve">Program-specific Quality Program Plan established. Program Quality Manager assigned. Quality targets assessed against pilot line, results feed continuous quality improvements. </t>
  </si>
  <si>
    <t>Data from LRIP demonstrates production processes, for all KCs and other manufacturing processes critical to quality, are capable and under control for FRP.</t>
  </si>
  <si>
    <t>KCs controlled at rate. Results achieve targeted statistical level on all KCs. Results reflect continuous improvement.</t>
  </si>
  <si>
    <t>Supplier program-specific QMSs adequate. Supplier products qualification testing and first article inspection completed. Acceptance testing of supplier products adequate to begin LRIP. Plan for subcontractor process audits in place and implemented by prime contractor.</t>
  </si>
  <si>
    <t xml:space="preserve">LRIP personnel requirements met. Plan to achieve FRP workforce requirements implemented. </t>
  </si>
  <si>
    <t>Prototype tooling and STE/SIE concepts demonstrated in production relevant environment. Requirements development efforts for production tooling and STE/SIE complete.</t>
  </si>
  <si>
    <t>Manufacturing facilities identified and plans developed to produce prototypes. Human factors &amp; ergonomics and safety requirements for manufacturing (personnel, processes &amp; equipment) assessed.</t>
  </si>
  <si>
    <t xml:space="preserve">Manufacturing facilities identified and plans developed to produce LRIP build. Human factors &amp; ergonomics and safety practices for manufacturing (personnel, processes &amp; equipment) validated in a production representative environment. </t>
  </si>
  <si>
    <t>Production facilities in place and capacity demonstrated to meet maximum FRP requirements. Human factors &amp; ergonomics and safety requirements for manufacturing (personnel, processes &amp; equipment) demonstrated in FRP.</t>
  </si>
  <si>
    <t>All manufacturing risks and issues managed.</t>
  </si>
  <si>
    <t xml:space="preserve">Make/buy evaluations initiated and include production considerations for pilot line, LRIP, and FRP needs. Lead times and other materials risks and issues identified. </t>
  </si>
  <si>
    <t xml:space="preserve">Most material make/buy decisions complete, material risks and issues identified, and mitigation plans developed. BOM initiated. </t>
  </si>
  <si>
    <t xml:space="preserve">D.4 - Special Handling (i.e. GFP, shelf life, security, hazardous materials, storage environment, ESH, etc.) </t>
  </si>
  <si>
    <t>F.3 - Supplier Quality/ Management</t>
  </si>
  <si>
    <t>H.1 - Tooling/STE/SIE</t>
  </si>
  <si>
    <t>ESH requirements addressed and documented. ...</t>
  </si>
  <si>
    <t>Most material make/buy decisions complete, ...</t>
  </si>
  <si>
    <t>Primary manufacturing technology efforts concluding. ...</t>
  </si>
  <si>
    <t>Cost model updated with results ...</t>
  </si>
  <si>
    <t>Manufacturing processes for LRIP verified ...</t>
  </si>
  <si>
    <t>ESH compliance demonstrated in LRIP. ...</t>
  </si>
  <si>
    <t>Supplier quality management of KCs ...</t>
  </si>
  <si>
    <t>ESH compliance demonstrated in FRP. ...</t>
  </si>
  <si>
    <t>ESH compliance risk identified. List ...</t>
  </si>
  <si>
    <t>Projected lead times identified for ...</t>
  </si>
  <si>
    <t>ESH compliance risk mitigated in ...</t>
  </si>
  <si>
    <t xml:space="preserve">Producibility and manufacturability assessments of key technologies and components initiated.   Ongoing design trades consider manufacturing processes and industrial base capability constraints. Manufacturing processes assessed for capability to be tested and verified in production. Manufacturing processes assessed for influence on O&amp;S. </t>
  </si>
  <si>
    <t xml:space="preserve">Costs analyzed using prototype component actuals to ensure target costs are achievable.  Decisions regarding design choices, make/buy, capacity, process capability, sources, quality, KCs, yield/rate, and variability influenced by cost models.    </t>
  </si>
  <si>
    <t>Materials manufactured or produced in a prototype environment (may be in a similar application/program).  Maturation efforts in place to address new material production risks for technology demonstration.</t>
  </si>
  <si>
    <t>Materials manufactured or produced in ...</t>
  </si>
  <si>
    <t>Availability risks and issues addressed ...</t>
  </si>
  <si>
    <t>ESH requirements and special handling ...</t>
  </si>
  <si>
    <t>Initial modeling &amp; simulations (product ...</t>
  </si>
  <si>
    <t>Process maturity assessed on similar processes in production.  Process capability requirements identified for pilot line, LRIP and FRP.</t>
  </si>
  <si>
    <t>Process maturity assessed on similar ...</t>
  </si>
  <si>
    <t xml:space="preserve">Quality strategy updated to reflect KC identification activities.  </t>
  </si>
  <si>
    <t xml:space="preserve">Tooling and STE/SIE requirements identified with supporting rationale and schedule. </t>
  </si>
  <si>
    <t>Make/buy evaluations initiated and include ...</t>
  </si>
  <si>
    <t>Producibility assessments and producibility trade studies (performance vs. producibility) of key technologies/components completed.  Results used to shape AS, SEP, manufacturing and producibility plans, and planning for EMD or technology insertion programs.  Preliminary design choices assessed against manufacturing processes and industrial base capability constraints.  Producibility enhancement efforts (i.e., DFM, DFA, etc.) initiated.</t>
  </si>
  <si>
    <t>System allocated baseline established.  Product requirements and features are well enough defined to support PDR. Product data essential for subsystem/system prototyping has been released, and all enabling/critical components have been prototyped. Preliminary KCs for the design identified and mitigation plans initiated.</t>
  </si>
  <si>
    <t xml:space="preserve">Cost model updated with design requirements, material specifications, tolerances, IMS, results of system/subsystem simulations and  production relevant prototype demonstrations.  </t>
  </si>
  <si>
    <t>Material maturity verified through technology demonstration articles.  Preliminary material specifications in place. Material properties adequately characterized.</t>
  </si>
  <si>
    <t>Initial modeling &amp; simulations developed ...</t>
  </si>
  <si>
    <t>Manufacturing processes demonstrated in production relevant environment.  Collection or estimation of process capability data from prototype build and refinement of process capability requirements initiated.</t>
  </si>
  <si>
    <t xml:space="preserve">Initial Quality Plan and QMS are in place.  Quality risks, issues, and metrics have been identified and improvement plans initiated. </t>
  </si>
  <si>
    <t>Initial Quality Plan and QMS ...</t>
  </si>
  <si>
    <t>Manufacturing workforce skills available for ...</t>
  </si>
  <si>
    <t>Initial manufacturing approach developed.  All system design related manufacturing events included in IMP/IMS.  Manufacturing risk, and issue mitigation approach for pilot line and/or technology insertion programs defined.</t>
  </si>
  <si>
    <t>Initial manufacturing approach developed.  ...</t>
  </si>
  <si>
    <t>Manufacturing costs rolled up to system/sub-system level and tracked against targets.   Detailed trade studies and engineering change requests supported by cost estimates.   Cost reduction and avoidance strategies underway. Manufacturing cost drivers for "Should-Cost" model updated.</t>
  </si>
  <si>
    <t>Modeling &amp; simulations used to ...</t>
  </si>
  <si>
    <t xml:space="preserve">Quality targets established. QMS elements (i.e., control of nonconforming material, corrective action, etc.) meet requirements of appropriate industry standards. Program-specific Quality Program Plan developed.   </t>
  </si>
  <si>
    <t>Quality targets established. QMS elements ...</t>
  </si>
  <si>
    <t>Manufacturing workforce resource requirements identified ...</t>
  </si>
  <si>
    <t>Design and development efforts for production tooling and STE/SIE initiated with STE/SIE validation plans complete. Manufacturing equipment maintenance strategy developed.</t>
  </si>
  <si>
    <t>Design and development efforts for ...</t>
  </si>
  <si>
    <t xml:space="preserve">Initial Manufacturing Plan developed and included in IMP/IMS. Manufacturing risks and issues integrated into mitigation plans.   Initial work instructions developed.  Effective production control system in place to support pilot line. </t>
  </si>
  <si>
    <t>Initial Manufacturing Plan developed and ...</t>
  </si>
  <si>
    <t>Primary manufacturing technology efforts concluding. Improvement efforts continuing.  Required manufacturing technology solutions validated on a pilot line.</t>
  </si>
  <si>
    <t>Costs analyzed using pilot line actuals to ensure target costs are achievable.  Manufacturing cost analysis supports proposed changes to requirements or configuration.  Cost reduction initiatives ongoing. Manufacturing cost drivers for "Should-Cost" model updated.</t>
  </si>
  <si>
    <t xml:space="preserve">Materials proven and validated during EMD as adequate to support LRIP.  Material specifications stable. </t>
  </si>
  <si>
    <t>Availability risks and issues managed ...</t>
  </si>
  <si>
    <t>ESH compliance demonstrated in pilot ...</t>
  </si>
  <si>
    <t>Modeling &amp; simulations verified by ...</t>
  </si>
  <si>
    <t>Manufacturing processes for LRIP verified on a pilot line.  Process Capability data from pilot line meets target. Process capability requirements for LRIP and FRP refined based upon pilot line data.</t>
  </si>
  <si>
    <t>Program-specific Quality Program Plan established. ...</t>
  </si>
  <si>
    <t>KCs managed. Measurement procedures and ...</t>
  </si>
  <si>
    <t>Supplier program-specific QMSs adequate. Supplier ...</t>
  </si>
  <si>
    <t xml:space="preserve">Manufacturing workforce resource requirements identified and plans developed to achieve LRIP requirements.   LRIP personnel trained on pilot line where possible. Plans to achieve FRP workforce requirements initiated based on pilot line. 
</t>
  </si>
  <si>
    <t>Pilot line facilities demonstrated. Manufacturing facilities adequate to begin LRIP.  Plans in place to support transition to FRP. Workplace safety is adequate. Human factors &amp; ergonomics and safety practices for manufacturing (personnel, processes &amp; equipment) demonstrated on a pilot line.</t>
  </si>
  <si>
    <t>Pilot line facilities demonstrated. Manufacturing ...</t>
  </si>
  <si>
    <t>Manufacturing Plan updated for LRIP.  All manufacturing risks and issues identified and assessed with approved mitigation plans in place. Work instructions finalized. Effective production control system in place to support LRIP.</t>
  </si>
  <si>
    <t>Manufacturing Plan updated for LRIP. ...</t>
  </si>
  <si>
    <t xml:space="preserve">Prior producibility improvements analyzed for effectiveness during LRIP.  Producibility risks and issues discovered in LRIP for FRP. </t>
  </si>
  <si>
    <t>LRIP cost goals met and learning curves analyzed with actual data.  Cost reduction initiatives ongoing. Touch labor efficiency analyzed to meet production rates and elements of inefficiency are identified with plans in place for reduction.</t>
  </si>
  <si>
    <t>Materials controlled to specifications in ...</t>
  </si>
  <si>
    <t xml:space="preserve">Modeling &amp; simulations verified by LRIP build, assist in management of LRIP, and demonstrate that FRP requirements can be met.  </t>
  </si>
  <si>
    <t>Quality targets verified on LRIP line. Continuous quality improvement on-going.  Management review of Quality measures conducted on regular basis and appropriate actions taken.</t>
  </si>
  <si>
    <t>Supplier quality management of KCs and other critical manufacturing processes demonstrates capability and control for FRP.  Acceptance testing of supplier products reflects control of quality adequate to begin FRP.  Subcontractor quality audits performed as necessary to ensure subcontractor specification compliance.</t>
  </si>
  <si>
    <t>LRIP personnel requirements met. Plan ...</t>
  </si>
  <si>
    <t>All tooling, test and inspection equipment proven in LRIP and additional requirements identified for FRP.  Manufacturing equipment maintenance schedule demonstrated. STE/SIE validation maintained as necessary.</t>
  </si>
  <si>
    <t>Manufacturing facilities in place and demonstrated in LRIP.   Capacity plans adequate to support FRP. Human factors &amp; ergonomics and safety practices for manufacturing (personnel, processes &amp; equipment) demonstrated in LRIP .</t>
  </si>
  <si>
    <t>Manufacturing facilities in place and ...</t>
  </si>
  <si>
    <t>Manufacturing plan updated for FRP.  All manufacturing risks and issues managed. Effective production control system in place to support FRP.</t>
  </si>
  <si>
    <t>Manufacturing plan updated for FRP. ...</t>
  </si>
  <si>
    <t xml:space="preserve">Modeling &amp; simulations verified by FRP build.  Production simulation models used as tools to assist in management of FRP.  </t>
  </si>
  <si>
    <t>KCs controlled at rate. Results ...</t>
  </si>
  <si>
    <t>Supplier quality data reflects adequate management of KCs and control of critical manufacturing processes, including quality management down to subtier suppliers.  Results achieve high statistical level (e.g., 6-sigma) on all critical dimensions.  Subcontractor quality audits performed as necessary to ensure subcontractor specification compliance.</t>
  </si>
  <si>
    <t xml:space="preserve">FRP personnel requirements met.  Production workforce skill sets maintained in spite of workforce attrition. </t>
  </si>
  <si>
    <t>Proven tooling, test and inspection equipment in place to support maximum FRP.  Planned equipment maintenance schedule achieved. STE/SIE validation maintained as necessary.</t>
  </si>
  <si>
    <t>All manufacturing risks and issues ...</t>
  </si>
  <si>
    <t>Material is controlled to specification ...</t>
  </si>
  <si>
    <t>Is there industrial capability in place that can support the manufacturing of (technology) development articles?</t>
  </si>
  <si>
    <t>Are manufacturing technology efforts continuing and on schedule for pilot line implementation?</t>
  </si>
  <si>
    <t>Are manufacturing improvement efforts continuing?</t>
  </si>
  <si>
    <t>Have the manufacturing technology solutions required been validated on a pilot line?</t>
  </si>
  <si>
    <t>Have producibility &amp; manufacturability assessments of key technologies and components been initiated?</t>
  </si>
  <si>
    <t>Have the manufacturing processes been assessed for their influence during the Operations and Support (O&amp;S) phase?</t>
  </si>
  <si>
    <t>Have assessments and trade studies regarding performance vs. producibility for key technologies and/or components been completed?</t>
  </si>
  <si>
    <t>Have the preliminary design choices been assessed against the constraints of the manufacturing processes and the capability of the industrial base?</t>
  </si>
  <si>
    <t>Have detailed producibility trade studies using knowledge of key design characteristics and the related manufacturing process capability been completed?</t>
  </si>
  <si>
    <t>Have manufacturing processes been re-assessed as needed for capability to be tested and verified?</t>
  </si>
  <si>
    <t>Have the producibility enhancement efforts (improvements) been implemented on system (for pilot line)?</t>
  </si>
  <si>
    <t>Are process producibility improvements (continuous improvement enhancement efforts) ongoing?</t>
  </si>
  <si>
    <t>Has the product lifecycle been considered in identifying enabling and/or critical technologies and components?</t>
  </si>
  <si>
    <t>Has the allocated baseline for the system been established?</t>
  </si>
  <si>
    <t>Are the product design and features well enough defined to support Critical Design Review?</t>
  </si>
  <si>
    <t>Has the impact of design change traffic on design maturity been evaluated as a risk or issue?</t>
  </si>
  <si>
    <t>Has all of the product data essential for manufacture of products at the component level been released?</t>
  </si>
  <si>
    <t>Have risks and issues to Key Characteristics been identified?</t>
  </si>
  <si>
    <t>Has all the product data essential for manufacture of the system been released?</t>
  </si>
  <si>
    <t>Has operational testing of production products validated the system design?</t>
  </si>
  <si>
    <t>Has a Physical Configuration Audit (or equivalent) determined conformance of the as-built product to the documented design and verified the product baseline?</t>
  </si>
  <si>
    <t>Is the design change traffic limited?</t>
  </si>
  <si>
    <t>Is the product design stable?</t>
  </si>
  <si>
    <t>Are design changes limited to continuous improvement or to obsolescence?</t>
  </si>
  <si>
    <t>Has the uncertainty of these cost drivers been quantified?</t>
  </si>
  <si>
    <t>Is the cost model up-to-date?</t>
  </si>
  <si>
    <t>Is the cost model up-to-date with results of the pilot line build?</t>
  </si>
  <si>
    <t>Have manufacturing cost drivers for the "Should-Cost" models been provided?</t>
  </si>
  <si>
    <t>Have all available actual manufacturing costs been rolled up to the subsystem and/or system level?</t>
  </si>
  <si>
    <t>Have all available actual manufacturing costs been tracked against targets?</t>
  </si>
  <si>
    <t>Are cost reduction and avoidance strategies being implemented (i.e., underway)?</t>
  </si>
  <si>
    <t>Have the manufacturing cost drivers for the "Should-Cost" models been updated?</t>
  </si>
  <si>
    <t>Have pilot line actual costs been included in cost analyses to verify achievability of target costs?</t>
  </si>
  <si>
    <t>Have proposed changes to requirements or configuration been subject to a manufacturing cost analysis?</t>
  </si>
  <si>
    <t>Are the cost reduction and cost avoidance initiatives ongoing?</t>
  </si>
  <si>
    <t>Are the cost reduction and cost avoidance initiatives continuing?</t>
  </si>
  <si>
    <t>Is the production budget sufficient for production at the required rates and schedule to support the funded program?</t>
  </si>
  <si>
    <t>Were any materials manufactured or produced a similar application and/or program?</t>
  </si>
  <si>
    <t>Are material maturation efforts in place to address risks and issues from producing new materials for the technology demonstration?</t>
  </si>
  <si>
    <t>Have technology demonstration articles (e.g., prototypes) verified maturity of materials?</t>
  </si>
  <si>
    <t>Are material specifications stable (i.e., no changes to specifications)?</t>
  </si>
  <si>
    <t>Have the materials been proven and validated as adequate to support FRP?</t>
  </si>
  <si>
    <t>Have projected lead times been identified for all difficult-to-obtain, difficult-to-process, or hazardous materials?</t>
  </si>
  <si>
    <t>Have all materials been analyzed for availability risks and issues?</t>
  </si>
  <si>
    <t>Has planning been initiated to address availability for scale-up?</t>
  </si>
  <si>
    <t>Have material availability risks and issues been addressed to meet Engineering and Manufacturing Development (EMD) build?</t>
  </si>
  <si>
    <t>Are materials availability risks and issues being addressed (i.e., mitigation plans) to meet FRP builds?</t>
  </si>
  <si>
    <t>Are all materials availability risks and issues being managed for FRP?</t>
  </si>
  <si>
    <t>Has the critical suppliers list been updated?</t>
  </si>
  <si>
    <t>Are plans in place that include a supply chain with sufficient resources, capabilities, and capacities to support an awarding of an engineering and manufacturing (EMD) contract award?</t>
  </si>
  <si>
    <t>Has a plan been developed for use of predictive indicators for risks in the supply chain?</t>
  </si>
  <si>
    <t>Has an assessment, including capability and capacity, of second and lower tier suppliers whose performance could seriously jeopardize the successful achievement of a program’s cost, schedule, technical, or supportability requirements been completed?</t>
  </si>
  <si>
    <t>Are robust flow-down processes for requirements in place?</t>
  </si>
  <si>
    <t>Have the requirements flow-down processes been verified?</t>
  </si>
  <si>
    <t>Has compliance with flowed-down requirements and any flowed-down changes been validated throughout the supply chain?</t>
  </si>
  <si>
    <t>Has the plan been updated for use of predictive indicators during production?</t>
  </si>
  <si>
    <t>Are long term supplier agreements in place where practical?</t>
  </si>
  <si>
    <t>Are the supply chain management metrics, which include thresholds and goals in place?</t>
  </si>
  <si>
    <t>Are the supply chain management metrics utilized to manage risks?</t>
  </si>
  <si>
    <t>Is the use of predictive indicators to identify risks in the supply chain in place?</t>
  </si>
  <si>
    <t>Does the supply chain management system indicate that the supply chain is adequate, sufficient, and ready to support rate production (FRP)?</t>
  </si>
  <si>
    <t>Has Environmental, Safety, and Health (ESH) compliance risks been mitigated in the lab environment?</t>
  </si>
  <si>
    <t>Has the updated list of hazardous materials been assessed for alternative materials?</t>
  </si>
  <si>
    <t>Have disposal procedures been evaluated?</t>
  </si>
  <si>
    <t>Have ESH requirements been addressed and documented?</t>
  </si>
  <si>
    <t>Are the plans to address the special handling requirement gaps, risks, and issues complete?</t>
  </si>
  <si>
    <t>Has manufacturing been assessed for material storage and waste handling risks?</t>
  </si>
  <si>
    <t>Have special handling procedures been developed and annotated on the work instructions to be used for the pilot line?</t>
  </si>
  <si>
    <t>Is there a hazardous material storage and disposal plan in place for the pilot line?</t>
  </si>
  <si>
    <t>Has ESH compliance been demonstrated during pilot line production?</t>
  </si>
  <si>
    <t>Do all work instructions contain required special handling provisions?</t>
  </si>
  <si>
    <t>Have hazardous material storage and disposal plans for LRIP been evaluated?</t>
  </si>
  <si>
    <t>Are hazardous material storage and disposal plans in place for LRIP?</t>
  </si>
  <si>
    <t>Has ESH compliance been demonstrated in LRIP?</t>
  </si>
  <si>
    <t>Have the initial modeling &amp; simulations been used to determine system constraints?</t>
  </si>
  <si>
    <t>Have the modeling &amp; simulations been used to determine system constraints?</t>
  </si>
  <si>
    <t>Have the modeling &amp; simulations been used to identify improvement opportunities?</t>
  </si>
  <si>
    <t>Have the modeling &amp; simulations been verified by the pilot line build?</t>
  </si>
  <si>
    <t>Has collection or estimation of process capability data from prototype builds been initiated?</t>
  </si>
  <si>
    <t>Has refinement of process capability requirements from prototype builds been initiated?</t>
  </si>
  <si>
    <t>Are manufacturing processes stable, capable, and adequately controlled (i.e., meeting Cpks)?</t>
  </si>
  <si>
    <t>Have manufacturing processes achieved program rate production (FRP) objectives?</t>
  </si>
  <si>
    <t>Have any risks and issues arising from yields and rates been identified?</t>
  </si>
  <si>
    <t>Have pilot line yields and rates been achieved?</t>
  </si>
  <si>
    <t>Are yield and rate improvement plans ongoing and up-to-date?</t>
  </si>
  <si>
    <t>Are yield and rate improvements on-going?</t>
  </si>
  <si>
    <t>Does the quality strategy include activities for Key Characteristic (KC) identification?</t>
  </si>
  <si>
    <t>Is an initial Quality Plan (QP) in place?</t>
  </si>
  <si>
    <t>Is a Quality Management System (QMS) in place?</t>
  </si>
  <si>
    <t>Have risks and issues impacting quality been identified?</t>
  </si>
  <si>
    <t>Have quality metrics been identified?</t>
  </si>
  <si>
    <t>Have improvement plans to mitigate quality risks and issues been initiated?</t>
  </si>
  <si>
    <t>Do elements of the Quality Management System (QMS), such as control of nonconforming material, corrective action, etc., meet requirements of appropriate industry standards?</t>
  </si>
  <si>
    <t>Has a program-specific Quality Program Plan been developed?</t>
  </si>
  <si>
    <t>Has the program-specific Quality Program Plan been established?</t>
  </si>
  <si>
    <t>Has a program-specific Quality Manager been assigned?</t>
  </si>
  <si>
    <t>Is management review of quality measures conducted on a regular basis with appropriate actions being taken?</t>
  </si>
  <si>
    <t>Have roles and responsibilities for acceptance test procedures been identified?</t>
  </si>
  <si>
    <t>Have roles and responsibilities in-process and final inspections been identified?</t>
  </si>
  <si>
    <t>Have roles and responsibilities for statistical process controls for prototype units been identified?</t>
  </si>
  <si>
    <t>Have initial acceptance test requirements and procedures for EMD units been identified?</t>
  </si>
  <si>
    <t>Has development of Test and Inspection Plans for EMD units been initiated?</t>
  </si>
  <si>
    <t>Are all Test and Inspection Plans complete?</t>
  </si>
  <si>
    <t>Are all Key Characteristics being managed and in control for FRP?</t>
  </si>
  <si>
    <t>Are all Key Characteristics meeting required targets?</t>
  </si>
  <si>
    <t>Does quality data show continuous improvement?</t>
  </si>
  <si>
    <t>Were the quality capabilities and risks from subtier supplier quality management also identified?</t>
  </si>
  <si>
    <t>Has a strategy for audits of critical supplier processes been outlined?</t>
  </si>
  <si>
    <t>Are supplier program-specific Quality Management Systems (QMSs) adequate (i.e., meet all quality requirements)?</t>
  </si>
  <si>
    <t>Is qualification testing for all products from suppliers completed?</t>
  </si>
  <si>
    <t>Are all First Article Inspections (FAIs) for all products from suppliers completed?</t>
  </si>
  <si>
    <t>Have quality audits of subcontractor processes been implemented?</t>
  </si>
  <si>
    <t>Is acceptance testing of supplier products (i.e., processes and throughput) adequate to begin FRP?</t>
  </si>
  <si>
    <t>Are quality audits of subcontractor processes to ensure subcontractor compliance to specifications being performed?</t>
  </si>
  <si>
    <t>Do results of analysis of supplier quality data show a high statistical level (e.g. 6-sigma) on all critical dimensions?</t>
  </si>
  <si>
    <t>Have the required skill sets to meet prototype and production been identified?</t>
  </si>
  <si>
    <t>Are plans to meet prototype and production workforce requirements developed?</t>
  </si>
  <si>
    <t>Have production personnel been trained on the pilot line where possible?</t>
  </si>
  <si>
    <t>Have the plans to achieve the manufacturing workforce resources required for rate production (FRP) requirements been implemented?</t>
  </si>
  <si>
    <t>Have all workforce requirements for FRP been met?</t>
  </si>
  <si>
    <t>In spite of any workforce attrition, are required production workforce skill sets being maintained?</t>
  </si>
  <si>
    <t>Have the requirements for tooling, Special Test Equipment, and/or Special Inspection Equipment been identified?</t>
  </si>
  <si>
    <t>Do the identified requirements for tooling, Special Test Equipment, and/or Special Inspection Equipment include a supporting rationale?</t>
  </si>
  <si>
    <t>Has a schedule for required tooling, Special Test Equipment, and/or Special Inspection Equipment been developed?</t>
  </si>
  <si>
    <t>Have design and development efforts for production tooling, Special Test Equipment, and/or Special Inspection Equipment been initiated?</t>
  </si>
  <si>
    <t>Are Special Test Equipment, and/or Special Inspection Equipment validation plans complete?</t>
  </si>
  <si>
    <t>Have maintenance process and procedures for manufacturing equipment (including tooling, Special Test Equipment, and/or Special Inspection Equipment) been demonstrated on pilot line?</t>
  </si>
  <si>
    <t>Has Special Test Equipment (STE) / Special Inspection equipment (SIE) validation been maintained as necessary?</t>
  </si>
  <si>
    <t>Has human factors &amp; ergonomics and safety requirements for manufacturing (personnel, processes &amp; equipment) been identified?</t>
  </si>
  <si>
    <t>Have manufacturing facilities that meet requirements to produce prototypes been identified?</t>
  </si>
  <si>
    <t>Have plans to produce prototypes in identified facilities been developed?</t>
  </si>
  <si>
    <t>Have requirements for human factors and ergonomics for manufacturing personnel, processes, and equipment in identified facilities been assessed?</t>
  </si>
  <si>
    <t>Have manufacturing facilities that meet requirements for pilot line been identified?</t>
  </si>
  <si>
    <t>Have plans for building pilot line in identified facilities been developed?</t>
  </si>
  <si>
    <t>Have pilot line facilities been successfully demonstrated?</t>
  </si>
  <si>
    <t>Is workplace safety meeting requirements (i.e., adequate)?</t>
  </si>
  <si>
    <t>Have human factors and ergonomics for manufacturing personnel, processes, and equipment been demonstrated on a pilot line?</t>
  </si>
  <si>
    <t>Have safety requirements for manufacturing personnel, processes, and equipment been demonstrated on a pilot line?</t>
  </si>
  <si>
    <t>Have human factors and ergonomics for manufacturing personnel, processes, and equipment been demonstrated during LRIP?</t>
  </si>
  <si>
    <t>Have safety requirements for manufacturing personnel, processes, and equipment been demonstrated during LRIP?</t>
  </si>
  <si>
    <t>Have human factors and ergonomics for manufacturing personnel, processes, and equipment been demonstrated during FRP?</t>
  </si>
  <si>
    <t>Have safety requirements for manufacturing personnel, processes, and equipment been demonstrated during FRP?</t>
  </si>
  <si>
    <t>Based upon the preferred concept, has the manufacturing strategy been refined?</t>
  </si>
  <si>
    <t>Has the initial manufacturing approach for the next phase (EMD) been developed?</t>
  </si>
  <si>
    <t>For either the pilot line and/or technology insertion, has a mitigation approach for manufacturing risks and issues been defined?</t>
  </si>
  <si>
    <t>Have manufacturing events from the initial Manufacturing Plan been included in the Integrated Master Plan and/or the Integrated Master Schedule?</t>
  </si>
  <si>
    <t>Have manufacturing risks and issues been integrated into program mitigation plans?</t>
  </si>
  <si>
    <t>Have all manufacturing risks and issues been identified and assessed?</t>
  </si>
  <si>
    <t>Do all identified manufacturing risks and issues have approved mitigation plans in place?</t>
  </si>
  <si>
    <t>Are all manufacturing risks and issues being managed?</t>
  </si>
  <si>
    <t>Have make or buy evaluations been initiated?</t>
  </si>
  <si>
    <t>Have lead times and other materials risks and issues been identified?</t>
  </si>
  <si>
    <t>Have most make or buy trade studies been completed?</t>
  </si>
  <si>
    <t>Have mitigation plans for the identified materials risks and issues been developed?</t>
  </si>
  <si>
    <t>Have all the make or buy decisions been completed for pilot line build?</t>
  </si>
  <si>
    <t>Have material planning systems (i.e., MRP II, ERP, etc.) been proven in LRIP?</t>
  </si>
  <si>
    <t>Have the material planning systems (i.e., MRP II, ERP, etc.) been validated by FRP?</t>
  </si>
  <si>
    <t>Are all system design related manufacturing events included in the Integrated Master Plan/Schedule (IMP/IMS)?</t>
  </si>
  <si>
    <t>Has process maturity been assessed on similar processes currently in production?</t>
  </si>
  <si>
    <t>Does the program have a reasonable manufacturing budget estimate to reach MRL 6 by Milestone (MS) B?</t>
  </si>
  <si>
    <t>Are the major product design features and the configuration stable?</t>
  </si>
  <si>
    <t>Global trends in emerging industrial base capabilities identified.</t>
  </si>
  <si>
    <t>Global trends in emerging industrial ...</t>
  </si>
  <si>
    <t>Global trends in manufacturing science and technology identified (i.e., concepts, capabilities).</t>
  </si>
  <si>
    <t>Global trends in manufacturing science ...</t>
  </si>
  <si>
    <t>Hypotheses developed for cause-effect relationships between technology variables and producibility.</t>
  </si>
  <si>
    <t>Hypotheses developed for cause-effect relationships ...</t>
  </si>
  <si>
    <t>Current capability deficiencies and gaps identified.</t>
  </si>
  <si>
    <t>Current capability deficiencies and gaps ...</t>
  </si>
  <si>
    <t>Hypotheses developed regarding technology impact on affordability.</t>
  </si>
  <si>
    <t>Hypotheses developed regarding technology impact ...</t>
  </si>
  <si>
    <t>Initial manufacturing and quality costs identified.</t>
  </si>
  <si>
    <t>Potential manufacturing investment strategy developed.</t>
  </si>
  <si>
    <t>New material properties and characteristics surveyed and identified for research (e.g., manufacturability, quality).</t>
  </si>
  <si>
    <t>Global trends for material availability, obsolescence, and DMSMS surveyed and identified for research.</t>
  </si>
  <si>
    <t xml:space="preserve">Global trends for supply chain capability and capacity surveyed. </t>
  </si>
  <si>
    <t>Global trends for supply chain ...</t>
  </si>
  <si>
    <t xml:space="preserve">Hazardous materials identified and safety procedures in place. </t>
  </si>
  <si>
    <t>Hazardous materials identified and safety ...</t>
  </si>
  <si>
    <t>Modeling and simulation approaches/tools identified to support manufacturing and quality activities.</t>
  </si>
  <si>
    <t>Hypotheses developed regarding cause-effect relationships between process variables and process stability and repeatability.</t>
  </si>
  <si>
    <t>Hypotheses developed regarding cause-effect relationships ...</t>
  </si>
  <si>
    <t>Hypotheses developed regarding future state manufacturing yields and rates.</t>
  </si>
  <si>
    <t>Hypotheses developed regarding future state ...</t>
  </si>
  <si>
    <t>Quality management considerations surveyed and included in early planning activities.</t>
  </si>
  <si>
    <t>Quality management considerations surveyed and ...</t>
  </si>
  <si>
    <t>Quality metrology state of the art surveyed. Hypotheses developed regarding cause-effect relationships between technology variables and quality.</t>
  </si>
  <si>
    <t>Supplier quality and quality management systems state of the art surveyed.</t>
  </si>
  <si>
    <t>Supplier quality and quality management ...</t>
  </si>
  <si>
    <t>Workforce skill sets to support emerging trends in manufacturing and technology surveyed.</t>
  </si>
  <si>
    <t>Workforce skill sets to support ...</t>
  </si>
  <si>
    <t>State of the art tooling, test and inspection equipment surveyed.</t>
  </si>
  <si>
    <t>State of the art tooling, ...</t>
  </si>
  <si>
    <t>Current facility capabilities and capacity surveyed.</t>
  </si>
  <si>
    <t>Current facility capabilities and capacity ...</t>
  </si>
  <si>
    <t>Manufacturing management considerations surveyed and included in early planning activities.</t>
  </si>
  <si>
    <t>Materials planning state of the art surveyed.</t>
  </si>
  <si>
    <t>Materials planning state of the ...</t>
  </si>
  <si>
    <t>Potential industrial base capability gaps identified.</t>
  </si>
  <si>
    <t>Potential manufacturing science and technology gaps identified.</t>
  </si>
  <si>
    <t>Potential manufacturing science and technology ...</t>
  </si>
  <si>
    <t>Studies performed to test hypotheses regarding cause-effect relationships between technology variables and producibility. Elements identified which have a potential impact to producibility (i.e., materials, processes, capabilities, limitations).</t>
  </si>
  <si>
    <t>Studies performed to test hypotheses ...</t>
  </si>
  <si>
    <t xml:space="preserve">Analyses performed to evaluate the feasibility of potential solutions to address capability gaps. </t>
  </si>
  <si>
    <t>Analyses performed to evaluate the ...</t>
  </si>
  <si>
    <t xml:space="preserve">Potential manufacturing and quality cost drivers and system affordability gaps identified. </t>
  </si>
  <si>
    <t>Potential manufacturing and quality cost ...</t>
  </si>
  <si>
    <t>Program/projects have reasonable budget estimates for reaching MRL 3 through experiment. Manufacturing investment budget ROM estimates identified to support industrial base and manufacturing capability gap closure strategies.</t>
  </si>
  <si>
    <t>Potential effects of new material properties on design application manufacturability and quality predicted based on research.</t>
  </si>
  <si>
    <t>Potential effects of new material ...</t>
  </si>
  <si>
    <t>Material availability, obsolescence, and DMSMS gaps identified.</t>
  </si>
  <si>
    <t>Material availability, obsolescence, and DMSMS ...</t>
  </si>
  <si>
    <t>Potential supply chain capability and capacity gaps identified.</t>
  </si>
  <si>
    <t>Initial evaluation of potential regulatory requirements and special handling concerns completed.
Raw materials and components assessed for special handling and potential regulatory requirements.</t>
  </si>
  <si>
    <t>Modeling and simulation in development initiated.</t>
  </si>
  <si>
    <t>Studies performed to test hypotheses regarding cause-effect relationships. Initial process approaches identified.</t>
  </si>
  <si>
    <t>Studies performed to test hypotheses regarding yields and rates.</t>
  </si>
  <si>
    <t>Quality management needs assessed, analyzed, and validated.</t>
  </si>
  <si>
    <t>Quality management needs assessed, analyzed, ...</t>
  </si>
  <si>
    <t xml:space="preserve">Studies performed to test hypotheses regarding cause-effect relationships between technology variables and quality. Elements identified which have a potential impact on quality (i.e., materials, processes, capabilities, limitations). </t>
  </si>
  <si>
    <t>Initial supplier quality and quality management systems evaluated.</t>
  </si>
  <si>
    <t>Initial supplier quality and quality ...</t>
  </si>
  <si>
    <t>Workforce skill sets to support emerging trends in manufacturing and technology evaluated.</t>
  </si>
  <si>
    <t>Potential tooling, STE, and SIE requirements identified.</t>
  </si>
  <si>
    <t>Potential tooling, STE, and SIE ...</t>
  </si>
  <si>
    <t>Potential facility capabilities and capacity requirements identified.</t>
  </si>
  <si>
    <t>Manufacturing management needs assessed, analyzed and validated.</t>
  </si>
  <si>
    <t>Manufacturing management needs assessed, analyzed ...</t>
  </si>
  <si>
    <t>Initial availability, lead time, handling and storage requirements for potential materials and components evaluated.</t>
  </si>
  <si>
    <t>Initial availability, lead time, handling ...</t>
  </si>
  <si>
    <t xml:space="preserve">Industrial base capabilities for potential sources identified for system concepts. </t>
  </si>
  <si>
    <t>Manufacturing technology requirements identified to address potential capability gaps for system concepts.</t>
  </si>
  <si>
    <t>Manufacturing technology requirements identified to ...</t>
  </si>
  <si>
    <t>System concept elements evaluated for manufacturability and producibility using experiments, modeling, and simulation.</t>
  </si>
  <si>
    <t>System concept elements evaluated for ...</t>
  </si>
  <si>
    <t>High level performance, lifecycle, and technical requirements defined and evaluated for system concepts. Trade-offs in design options based on experiments and initial MOEs.</t>
  </si>
  <si>
    <t>High level performance, lifecycle, and ...</t>
  </si>
  <si>
    <t>Manufacturing cost estimates for system concepts developed. Initial cost models developed which include high-level process steps and materials.</t>
  </si>
  <si>
    <t>Manufacturing cost estimates for system ...</t>
  </si>
  <si>
    <t>Analyses conducted to refine manufacturing and quality cost drivers, risks, and development strategy (e.g., lab to pilot to factory). Potential cost reduction and system affordability gap closure strategies identified.</t>
  </si>
  <si>
    <t>Analyses conducted to refine manufacturing ...</t>
  </si>
  <si>
    <t>Program/projects have reasonable budget estimates for reaching MRL 4 by MS A. Preliminary manufacturing investment budget estimates for manufacturing gap closure recommendations have been developed.</t>
  </si>
  <si>
    <t xml:space="preserve">Effects of new material properties on design concept manufacturability and quality validated using experiments and models. </t>
  </si>
  <si>
    <t>Effects of new material properties ...</t>
  </si>
  <si>
    <t>Material availability, obsolescence, and DMSMS gap closure strategy defined.</t>
  </si>
  <si>
    <t>Supply chain capability and capacity gap closure strategies defined.</t>
  </si>
  <si>
    <t>Supply chain capability and capacity ...</t>
  </si>
  <si>
    <t>Manufacturing and quality gaps for system concepts identified using modeling and simulation.</t>
  </si>
  <si>
    <t>Manufacturing and quality gaps for ...</t>
  </si>
  <si>
    <t>Initial estimates of yields and rates for system concepts identified through laboratory experiments. Yield and rate gaps for system concepts identified.</t>
  </si>
  <si>
    <t>Quality management requirements for system concepts identified.</t>
  </si>
  <si>
    <t>Quality management requirements for system ...</t>
  </si>
  <si>
    <t>System concept elements evaluated for quality using experiments, modeling and simulation. Initial product quality requirements, risks, and issues identified. Inspection technologies identified.</t>
  </si>
  <si>
    <t>Supplier quality and quality management system requirements for system concepts identified.</t>
  </si>
  <si>
    <t>Workforce skill set requirements for system concepts identified. Workforce skill set capability gaps identified</t>
  </si>
  <si>
    <t>Workforce skill set requirements for ...</t>
  </si>
  <si>
    <t>Tooling, STE, and SIE requirements for system concepts identified. Special tooling, STE, and SIE gaps identified.</t>
  </si>
  <si>
    <t>Tooling, STE, and SIE requirements ...</t>
  </si>
  <si>
    <t xml:space="preserve">Facility capabilities and capacity requirements and gaps for system concepts identified. </t>
  </si>
  <si>
    <t>Facility capabilities and capacity requirements ...</t>
  </si>
  <si>
    <t xml:space="preserve">Manufacturing management requirements for system concepts identified. </t>
  </si>
  <si>
    <t>Manufacturing management requirements for system ...</t>
  </si>
  <si>
    <t>Materials and components list for system concepts developed. Initial materials planning requirements (i.e., availability, lead times, handling, and storage) identified.</t>
  </si>
  <si>
    <t>Materials and components list for ...</t>
  </si>
  <si>
    <t>Manufacturing technology development initiatives defined for preferred materiel solution. Manufacturing technology development requirements considered in the AoA.</t>
  </si>
  <si>
    <t xml:space="preserve">Initial producibility and manufacturability assessments in selection of preferred materiel solution completed. Results considered in AoA documented in AS key components/technologies. </t>
  </si>
  <si>
    <t>Initial producibility and manufacturability assessments ...</t>
  </si>
  <si>
    <t>Form, fit, and function constraints, and manufacturing capabilities identified for preferred systems concept. SEP and T&amp;E Strategy recognize the need for the establishment/validation of manufacturing capability and management of manufacturing risk for the product lifecycle. Initial KPPs identified for preferred systems concept. System characteristics and measures to support required capabilities identified.</t>
  </si>
  <si>
    <t xml:space="preserve">Cost estimates refined based on anticipated production volumes associated with preferred materiel solution. Cost model updated with identified cost drivers (i.e., process variables, manufacturing, materials, and special requirements). Cost driver uncertainty quantified. Cost model supports AoA and ASR. </t>
  </si>
  <si>
    <t>Cost estimates refined based on ...</t>
  </si>
  <si>
    <t>Producibility and lifecycle cost risks and issues assessed for preferred materiel solution. Initial cost analysis supports AoA and ASR.</t>
  </si>
  <si>
    <t>Producibility and lifecycle cost risks ...</t>
  </si>
  <si>
    <t>New materials and components for preferred materiel solution demonstrated in a laboratory environment.</t>
  </si>
  <si>
    <t>New materials and components for ...</t>
  </si>
  <si>
    <t xml:space="preserve">ESH compliance risk mitigated in lab environment. List of hazardous materials updated and alternatives assessed. Special handling procedures applied and disposal procedures evaluated. Special handling requirements identified, analyzed, and documented in the SEP. </t>
  </si>
  <si>
    <t>Production modeling and simulation tools utilized to define manufacturing and quality requirements for preferred materiel solution. Modeling and simulation results considered in the AoA.</t>
  </si>
  <si>
    <t>Production modeling and simulation tools ...</t>
  </si>
  <si>
    <t xml:space="preserve">Maturity of critical processes for preferred materiel solution assessed.
Process capability requirements and improvement plans developed and documented in the SEP. </t>
  </si>
  <si>
    <t>Maturity of critical processes for ...</t>
  </si>
  <si>
    <t>Yield and rate assessments on preferred materiel solution completed and considered in the AoA. Yield and rate gap closure strategies identified for the preferred materiel solution and documented in the SEP.</t>
  </si>
  <si>
    <t xml:space="preserve">Quality strategy for the preferred materiel solution developed, considered in the AoA, and documented in the SEP and the AS. </t>
  </si>
  <si>
    <t>Quality strategy for the preferred ...</t>
  </si>
  <si>
    <t>Product quality requirements and the inspection and acceptance testing strategy for the preferred materiel solution considered in AoA and documented in the AS. Product quality risk and issue mitigation plans documented in the SEP.</t>
  </si>
  <si>
    <t>Workforce skill set and production workforce requirements (technical and operational) for the preferred materiel solution identified and considered in the AoA. Workforce training and development requirements to close skill set gaps defined. Availability of workforce for TMRR Phase determined.</t>
  </si>
  <si>
    <t>Workforce skill set and production ...</t>
  </si>
  <si>
    <t>Tooling/STE/SIE requirements for the preferred materiel solution considered as part of AoA.</t>
  </si>
  <si>
    <t>Tooling/STE/SIE requirements for the preferred ...</t>
  </si>
  <si>
    <t>Capability and availability of manufacturing facilities for prototype development and production of the preferred materiel solution evaluated, included in the AoA, and documented in the AS and SEP. Human factors &amp; ergonomics and safety requirements for manufacturing (personnel, processes &amp; equipment) identified.</t>
  </si>
  <si>
    <t xml:space="preserve">Manufacturing strategy for the preferred materiel solution developed, considered in the AoA, and documented in the AS. Prototype schedule risk mitigation efforts documented in the SEP. </t>
  </si>
  <si>
    <t>Manufacturing strategy for the preferred ...</t>
  </si>
  <si>
    <t xml:space="preserve">Materials and components list with estimates for availability, lead times, handling and storage requirements developed and considered in the AoA. </t>
  </si>
  <si>
    <t>Materials and components list with ...</t>
  </si>
  <si>
    <t xml:space="preserve">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
Examples of ‘Objective Evidence’:
•  TRA Report is TRL of 2 or greater
Questions (MRL Criteria in the form of a question):
1. Is the Technology Readiness at TRL 2 or greater?
</t>
  </si>
  <si>
    <t>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Based on research, potential effects of new material properties on design application manufacturability and quality have been predicted and documented
Questions (MRL Criteria in the form of a question):
1. Have the potential effects of new material properties on design application manufacturability and quality been predicted based on research?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</si>
  <si>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Material availability, obsolescence, and DMSMS gaps identified and documented
Questions (MRL Criteria in the form of a question):
1. Has material availability, obsolescence, and DMSMS gaps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</si>
  <si>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 xml:space="preserve">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supply chain capability and capacity gap closure strategy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Supply chain capability and capacity research is necessary. 
Examples of ‘Objective Evidence’:
•  Potential supply chain capability and capacity gaps been identified and documented
Questions (MRL Criteria in the form of a question):
1. Have potential supply chain capability and capacity gaps been identified?
Additional Considerations:  
• None
Lessons Learned: 
• None
</t>
  </si>
  <si>
    <t xml:space="preserve">Purpose: 
To lay the groundwork for ongoing Quality Management System development concurrent with system design, in parallel with the development of a manufacturing capability for system concepts.  To document potential effects of quality on new products or manufacturing technologies and any technology development related to quality processes in the concept phase. Quality management needs for system concepts are documented.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management needs for system concepts assessed, analyzed, and validated and documented
Questions (MRL Criteria in the form of a question):
1.  Have quality management needs been assessed, analyzed, and validated?
Additional Considerations:  
• None
Lessons Learned: 
• None
</t>
  </si>
  <si>
    <t xml:space="preserve">Purpose: 
To lay the groundwork for ongoing Quality Management System development concurrent with system design, in parallel with the development of a manufacturing capability for system concepts.  To document potential effects of quality on new products or manufacturing technologies and any technology development related to quality processes in the concept phase. Cause-effect relationships between technology variables and quality should be addressed.
Sources of Information: 
The majority of information for product quality planning may come from historical data and product quality plans from like systems.  For example, if you are building a new aircraft you may want to look at previous aerospace product quality plans. 
Examples of ‘Objective Evidence’:
•  Studies to test hypotheses regarding cause-effect relationships between technology variables and quality performed and documented
•  Elements which have a potential impact on quality (i.e., materials, processes, capabilities, limitations) identified and documented
Questions (MRL Criteria in the form of a question):
1. Have studies been performed to test hypotheses regarding cause-effect relationships between technology variables and quality?
2. Have elements been identified which have a potential impact on quality (i.e., materials, processes, capabilities, limitations)?
Additional Considerations:  
• None
Lessons Learned: 
• None
</t>
  </si>
  <si>
    <t xml:space="preserve">Purpose: 
To lay the groundwork for ongoing Quality Management System development concurrent with system design, in parallel with the development of a manufacturing capability for system concepts as they apply to supplier quality management.  To document potential effects of quality on new supplier products or manufacturing technologies and any technology development related to quality processes in the concept phase.  
Sources of Information:  
This data should come from supplier management, quality, design, and manufacturing departments.
Examples of ‘Objective Evidence’:                                  
•  Initial supplier quality and quality management systems evaluated and documented
Questions (MRL Criteria in the form of a question):
1. Have initial supplier quality and quality management systems been evaluated?
Additional Considerations:  
• None
Lessons Learned: 
• None
</t>
  </si>
  <si>
    <t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Examples of ‘Objective Evidence’:
•  Workforce skill sets to support emerging trends in manufacturing and technology evaluated and documented
Questions (MRL Criteria in the form of a question):
1. Have workforce skill sets to support emerging trends in manufacturing and technology been evaluated?
Additional Considerations:  
• None
Lessons Learned: 
• None
</t>
  </si>
  <si>
    <t xml:space="preserve">Purpose:  
To identify whether new/specialized tooling, STE, and SIE requirements for characterizing the state of the manufacturing state of the art through the outcome of scientific discovery. To use this information to understand cost and performance risk of selecting the best alternative and to begin risk planning to address potential risks. The contractor must determine whether new/specialized tooling, STE, and SIE are needed to produce items being considered. If special tooling, STE, and SIE will be needed, you must begin addressing the risk to achieving program requirements.
Sources of Information:  
This data should come from facilities, design and manufacturing departments.
Examples of ‘Objective Evidence’:
•  Potential tooling, STE, and SIE requirements for concepts identified and documented
Questions (MRL Criteria in the form of a question):
1. Have potential tooling, STE, and SIE requirements been identified?
Additional Considerations:  
• None
Lessons Learned: 
• None
</t>
  </si>
  <si>
    <t xml:space="preserve">Purpose:  
To identify whether potential facility capabilities and capacity requirements for characterizing the state of the manufacturing state of the art. To use this information to understand cost and performance risk of selecting the best alternative and to begin risk planning to address potential risks. The contractor must determine whether facility capabilities and capacity are available to produce items being considered. If additional facility capabilities and capacity will be needed, you must begin addressing the risk to achieving program requirements.
Sources of Information:  
This data should come from facilities, design and manufacturing departments.
Examples of ‘Objective Evidence’:
•  Potential facility capabilities and capacity requirements for concepts identified and documented
Questions (MRL Criteria in the form of a question):
1. Have potential facility capabilities and capacity requirements been identified?
Additional Considerations:  
• None
Lessons Learned: 
• None
</t>
  </si>
  <si>
    <t xml:space="preserve">Purpose: 
To ensure there is a well-documented roadmap to achieve manufacturing maturity.  DOD case studies and GAO reports have demonstrated that the failure to adequately manage manufacturing risk early in the product development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Manufacturing management needs for system concepts assessed, analyzed and validated and documented
Questions (MRL Criteria in the form of a question):
1. Have manufacturing management needs been assessed, analyzed and validated?
Additional Considerations:  
• None
Lessons Learned: 
• None
</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</si>
  <si>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Initial availability, lead time, handling and storage requirements for potential materials and components have been evaluated and documented
Questions (MRL Criteria in the form of a question):
1. Have initial availability, lead time, handling and storage requirements for potential materials and components been evaluated? 
Additional Considerations:  
• None
Lessons Learned: 
• None
</t>
  </si>
  <si>
    <t xml:space="preserve">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
Examples of ‘Objective Evidence’:
•  TRA Report is TRL of 3 or greater
Questions (MRL Criteria in the form of a question):
1. Is the Technology Readiness at TRL 3 or greater?
</t>
  </si>
  <si>
    <t>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Examples of ‘Objective Evidence’:
•  Manufacturing technology requirements to address potential capability gaps for system concepts documented 
Questions (MRL Criteria in the form of a question):
1. Have Manufacturing technology requirements been identified to address potential capability gaps for system concepts?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t>
  </si>
  <si>
    <t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Examples of ‘Objective Evidence’:
•  High level performance, lifecycle, and technical requirements are documented
•  High level performance, lifecycle, and technical requirements evaluated for system concepts and documented
•  Trade-offs in design options are based on experiments and initial MOEs and documented
Questions (MRL Criteria in the form of a question):
1. Have high level performance, lifecycle, and technical requirements been defined?
2. Have high level performance, lifecycle, and technical requirements been evaluated for system concepts? 
3. Are trade-offs in design options based on experiments and initial MOEs?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t>
  </si>
  <si>
    <t>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Examples of ‘Objective Evidence’:
•  Analyses for refining manufacturing and quality cost drivers, risks, and development strategy (e.g., lab to pilot to factory) are documented 
•  Trade-offs in design options based on experiments and initial MOEs are documented
Questions (MRL Criteria in the form of a question):
1. Have analyses been conducted to refine manufacturing and quality cost drivers, risks, and development strategy (e.g., lab to pilot to factory)?  
2. Are trade-offs in design options based on experiments and initial MOEs?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t>
  </si>
  <si>
    <t>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Examples of ‘Objective Evidence’:
•  Program/projects have documented reasonable budget estimates for reaching MRL 4 by Milestone (MS) A 
•  Preliminary manufacturing investment budget estimates for manufacturing gap closure recommendations are documented
Questions (MRL Criteria in the form of a question):
1. Do the program/projects have reasonable budget estimates for reaching MRL 4 by Milestone (MS) A?
2. Have preliminary manufacturing investment budget estimates for manufacturing gap closure recommendations been developed?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t>
  </si>
  <si>
    <t>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Examples of ‘Objective Evidence’:
•  The effects of new material properties on design concept manufacturability and quality using experiments and models are documented
Questions (MRL Criteria in the form of a question):
1. Have the effects of new material properties on design concept manufacturability and quality been validated using experiments and models?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t>
  </si>
  <si>
    <t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Examples of ‘Objective Evidence’:
•  Material availability, obsolescence, and DMSMS gap closure strategy is defined and documented
Questions (MRL Criteria in the form of a question):
1. Has material availability, obsolescence, and DMSMS gap closure strategy been defined?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t>
  </si>
  <si>
    <t>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Examples of ‘Objective Evidence’:
•  Supply chain capability and capacity gap closure strategies are defined and documented
Questions (MRL Criteria in the form of a question):
1. Have supply chain capability and capacity gap closure strategies been defined?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t>
  </si>
  <si>
    <t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Examples of ‘Objective Evidence’:
•  Manufacturing and quality gaps for system concepts have been identified and documented using modeling and simulation 
Questions (MRL Criteria in the form of a question):
1. Have manufacturing and quality gaps for system concepts been identified using modeling and simulation?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t>
  </si>
  <si>
    <t>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Examples of ‘Objective Evidence’:
•  Cause-effect relationships between process control variables and process stability and repeatability through laboratory experiments have been validated and documented
•  Critical process control variables have been identified and documented
Questions (MRL Criteria in the form of a question):
1. Have cause-effect relationships between process control variables and process stability and repeatability been validated through laboratory experiments? 
2. Have critical process control variables been identified?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t>
  </si>
  <si>
    <t>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Examples of ‘Objective Evidence’:
•  Initial estimates of yields and rates for system concepts through laboratory experiments have been identified and documented
•  Yield and rate gaps for system concepts have been identified and documented 
Questions (MRL Criteria in the form of a question):
1. Have initial estimates of yields and rates for system concepts been identified through laboratory experiments? 
2. Have yield and rate gaps for system concepts been identified? 
Additional Considerations:  
• None
Lessons Learned: 
• Historically we have not adequately addressed manufacturing risk in this phase of technology development, so we must address manufacturing maturity and yield issues earlier in the R&amp;D process.</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</si>
  <si>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Quality management requirements for system concepts are documented.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management requirements for system concepts have been identified and documented
Questions (MRL Criteria in the form of a question):
1.  Have quality management requirements for system concepts been identified?
Additional Considerations:  
• None
Lessons Learned: 
• None
</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</si>
  <si>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Initial product quality requirements, risks, and issues for system concepts and inspection technologies are documented.
Sources of Information: 
The majority of information for product quality planning may come from historical data and product quality plans from like systems.  For example, if you are building a new aircraft you may want to look at previous aerospace product quality plans. 
Examples of ‘Objective Evidence’:
•  System concept elements for quality using experiments, modeling and simulation have been evaluated and documented
•  Initial product quality requirements, risks, and issues identified and documented
•  Inspection technologies identified and documented
Questions (MRL Criteria in the form of a question):
1. Have system concept elements been evaluated for quality using experiments, modeling and simulation?
2. Have initial product quality requirements, risks, and issues been identified? 
3. Have inspection technologies been identified?
Additional Considerations:  
• None
Lessons Learned: 
• None
</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</si>
  <si>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Supplier quality and quality management system requirements for the system concept have been identified.  
Sources of Information:  
This data should come from supplier management, quality, design, and manufacturing departments.
Examples of ‘Objective Evidence’:                                  
•  Supplier quality and quality management system requirements for the system concept have been identified and documented
Questions (MRL Criteria in the form of a question):
1. Have supplier quality and quality management system requirements for the system concept been identified?
Additional Considerations:  
• None
Lessons Learned: 
• None
</t>
  </si>
  <si>
    <t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Examples of ‘Objective Evidence’:
•  Workforce skill set requirements for system concepts identified and documented
•  Workforce skill set capability gaps identified and documented
Questions (MRL Criteria in the form of a question):
1. Have workforce skill set requirements for system concepts been identified?
2. Have workforce skill set capability gaps been identified?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t>
  </si>
  <si>
    <t xml:space="preserve">Purpose:  
To identify whether new/specialized tooling, STE, and SIE requirements for system concepts will be required to produce proposed alternatives. To use this information to understand cost and performance risk of selecting the best alternative and to begin risk planning to address identified risks. The contractor must determine whether new/specialized tooling, STE, and SIE are needed to produce items being considered. If special tooling, STE, and SIE will be needed, you must begin addressing the risk to achieving program requirements.
Sources of Information:  
This data should come from facilities, design and manufacturing departments.
Examples of ‘Objective Evidence’:
•  Tooling, STE, and SIE requirements for system concepts identified and documented
•  Special tooling, STE, and SIE gaps identified and documented
Questions (MRL Criteria in the form of a question):
1. Have tooling, STE, and SIE requirements for system concepts been identified?
2. Have special tooling, STE, and SIE gaps been identified?  
Additional Considerations:  
• None
Lessons Learned: 
• None
</t>
  </si>
  <si>
    <t>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Examples of ‘Objective Evidence’:
•  Facility capabilities and capacity requirements and gaps for system concepts identified and documented
Questions (MRL Criteria in the form of a question):
1. Have facility capabilities and capacity requirements and gaps for system concepts been identified?
Additional Considerations:  
• None 
Lessons Learned: 
• None</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</si>
  <si>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Manufacturing management requirements for system concepts identified and documented
Questions (MRL Criteria in the form of a question):
1. Have manufacturing management requirements for system concepts been identified?
Additional Considerations:  
• None
Lessons Learned: 
• None
</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</si>
  <si>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A documented materials and components list for system concepts
•  Initial materials planning requirements (i.e., availability, lead times, handling, and storage) identified and documented
Questions (MRL Criteria in the form of a question):
1. Has a materials and components list for system concepts been developed?
2. Have initial materials planning requirements (i.e., availability, lead times, handling, and storage) been identified?
Additional Considerations:  
• None
Lessons Learned: 
• None
</t>
  </si>
  <si>
    <t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  Potential supply chain sources survey documented for the preferred materiel solution
•  Analysis of Alternatives (AoA)
Questions (MRL Criteria in the form of a question):
1. Has a survey for potential supply chain sources for the preferred materiel solution been completed?
2. Have supply chain capability and capacity analyses been considered in the AoA?
Additional Considerations:
•  Is the prime satisfied that the proposed design can be manufactured, assembled, tested, packaged, and delivered in sufficient quantity, at an acceptable cost to the customer on schedule with the identified potential supply base?
•  Has the prime established criteria for selection and evaluation of its suppliers?
•  Has the prime conducted an on-site assessment of potential suppliers?  When?
•  Critical/new suppliers may need to be tracked more carefully due to potential program risk.
Lessons Learned: 
•  Open communication between the government, prime contractor and the supply base throughout the program execution is critical to success.
•  Review and consider past performance data on supplier capabilities and consider “similar to” supply chains
•  One needs to discuss and understand where the engineering and technical support is located for the manufacturing facility and how that support communicates to the manufacturing location.
</t>
  </si>
  <si>
    <t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  Completed yield and rates assessment on proposed/similar processes
•  Yield and rates assessment on proposed/similar processes applied within the Analysis of Alternatives (AoA) 
•  SEP includes yield and rate gap closure strategies for the preferred materiel solution
Questions (MRL Criteria in the form of a question):
1. Have yield and rate assessments on the preferred materiel solution been completed and considered in the AoA?
2. Have yield and rate gap closure strategies been identified for the preferred materiel solution and documented in the SEP?
Additional Considerations:  
• None
Lessons Learned: 
• Historically we have not adequately addressed manufacturing risk in this phase of technology development, so we must address manufacturing risk/issues earlier in the R&amp;D process.
• The yields being demonstrated versus what are required is a best indicator to provide the current maturity and risk of proceeding forward.
• If yields are below 60% on critical processes at this stage, you need to monitor this process very closely.
</t>
  </si>
  <si>
    <t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  Product quality requirements and the inspection and acceptance testing strategy for the preferred materiel solution identified and documented as part of the Acquisition Strategy 
•  Product inspection and acceptance testing strategy for the preferred materiel solution included and documented in the Systems Engineering Plan (SEP) and contractor System Engineering Management Plan (SEMP)
•  Product quality risk and issue mitigation plans documented in the SEP
Questions (MRL Criteria in the form of a question):
1. Have product quality requirements and the inspection and acceptance testing strategy for the preferred materiel solution been considered in AoA?
2. Have product quality requirements and the inspection and acceptance testing strategy for the preferred materiel solution been documented in the AS?
3. Have product quality risk and issue mitigation plans been documented in the SEP?
Additional Considerations:
•  Does the strategy appropriately reflect the industry sector of the item developed and being produced?
•  Does the strategy appropriately reflect the rates/quantities of items estimated to be produced?
•  Is the strategy a “best practice?”
Lessons Learned: 
•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t>
  </si>
  <si>
    <t>System allocated baseline established.  ...</t>
  </si>
  <si>
    <t>The loss or impending loss of manufacturers of items or suppliers of items or the loss or impending loss of raw materials used to manufacture items of supply. Such losses may cause material shortages that endanger a weapon system’s or equipment’s development, production, or post-production support capability.  (DoDM 4140.01, Volume 3)</t>
  </si>
  <si>
    <t>Measures of Effectiveness (MOE)</t>
  </si>
  <si>
    <t>A criterion used to assess changes in system behavior, capability, or operational environment that is tied to measuring the attainment of an end state, achievement of an objective, or creation of an effect.</t>
  </si>
  <si>
    <t>Obsolescence</t>
  </si>
  <si>
    <t>(Please see SD-22 – Diminishing Manufacturing Sources and Material Shortages (DMSMS) Guidebook, Appendix A, for an explanation of obsolescence relationship to DMSMS.)</t>
  </si>
  <si>
    <t>Have global trends in emerging industrial base capabilities been identified?</t>
  </si>
  <si>
    <t>Have potential industrial base capability gaps been identified?</t>
  </si>
  <si>
    <t>Have manufacturing technology development initiatives been defined for preferred materiel solution?</t>
  </si>
  <si>
    <t>Are manufacturing technology development requirements considered in the AoA?</t>
  </si>
  <si>
    <t>Have hypotheses been developed for cause-effect relationships between technology variables and producibility?</t>
  </si>
  <si>
    <t>Are initial producibility and manufacturability assessments in selection of preferred materiel solution complete?</t>
  </si>
  <si>
    <t>Have current capability deficiencies and gaps been identified?</t>
  </si>
  <si>
    <t>Have analyses been performed to evaluate the feasibility of potential solutions to address capability gaps?</t>
  </si>
  <si>
    <t>Are trade-offs in design options based on experiments and initial MOEs?</t>
  </si>
  <si>
    <t>Have form, fit, and function constraints, and manufacturing capabilities, been identified for the preferred systems concept?</t>
  </si>
  <si>
    <t>Have initial Key Performance Parameters (KPPs) been identified for the preferred systems concept?</t>
  </si>
  <si>
    <t>Have system characteristics and measures to support required capabilities been identified?</t>
  </si>
  <si>
    <t>Have all preliminary Key Characteristics (KCs) for the design been identified?</t>
  </si>
  <si>
    <t>Have mitigation plans for Key Characteristics (KCs) been initiated?</t>
  </si>
  <si>
    <t>Have hypotheses been developed regarding technology impact on affordability?</t>
  </si>
  <si>
    <t>Has manufacturing cost estimates for system concepts been developed?</t>
  </si>
  <si>
    <t>Has cost model been updated with identified cost drivers (i.e., process variables, manufacturing, materials, and special requirements)?</t>
  </si>
  <si>
    <t>Have initial manufacturing and quality costs been identified?</t>
  </si>
  <si>
    <t>Have potential manufacturing and quality cost drivers and system affordability gaps been identified?</t>
  </si>
  <si>
    <t>Have analyses been conducted to refine manufacturing and quality cost drivers, risks, and development strategy (e.g., lab to pilot to factory)?</t>
  </si>
  <si>
    <t>Have potential cost reduction and system affordability gap closure strategies been identified?</t>
  </si>
  <si>
    <t>Does the initial cost analysis support the Analysis of Alternatives (AoA)?</t>
  </si>
  <si>
    <t>Does the initial cost analysis support the Alternative Systems Review (ASR)?</t>
  </si>
  <si>
    <t>Has a potential manufacturing investment strategy been developed?</t>
  </si>
  <si>
    <t>Have manufacturing investment budget ROM estimates been identified to support industrial base and manufacturing capability gap closure strategies?</t>
  </si>
  <si>
    <t>Have preliminary manufacturing investment budget estimates for manufacturing gap closure recommendations been developed?</t>
  </si>
  <si>
    <t>Have manufacturing technology initiatives been incorporated to reduce costs?</t>
  </si>
  <si>
    <t>Have new material properties and characteristics been surveyed and identified for research (e.g., manufacturability, quality)?</t>
  </si>
  <si>
    <t>Have the potential effects of new material properties on design application manufacturability and quality been predicted based on research?</t>
  </si>
  <si>
    <t>Have the effects of new material properties on design concept manufacturability and quality been validated using experiments and models?</t>
  </si>
  <si>
    <t>Have new materials and components for the preferred materiel solution been demonstrated in a laboratory environment?</t>
  </si>
  <si>
    <t>Have global trends for material availability, obsolescence, and DMSMS been surveyed and identified for research?</t>
  </si>
  <si>
    <t>Has material availability, obsolescence, and DMSMS gaps been identified?</t>
  </si>
  <si>
    <t>Has material availability, obsolescence, and DMSMS gap closure strategy been defined?</t>
  </si>
  <si>
    <t>Have mitigation plans been incorporated in SEP for the preferred system concept?</t>
  </si>
  <si>
    <t>Have global trends for supply chain capability and capacity been surveyed?</t>
  </si>
  <si>
    <t>Have potential supply chain capability and capacity gaps been identified?</t>
  </si>
  <si>
    <t>Have supply chain capability and capacity gap closure strategies been defined?</t>
  </si>
  <si>
    <t>Has a survey for potential supply chain sources for the preferred materiel solution been completed?</t>
  </si>
  <si>
    <t>Have supply chain capability and capacity analyses been considered in the AoA?</t>
  </si>
  <si>
    <t>Has ESH compliance risk been identified?</t>
  </si>
  <si>
    <t>Has a list of hazardous materials been identified and alternatives evaluated?</t>
  </si>
  <si>
    <t>Have special handling procedures been applied in the lab?</t>
  </si>
  <si>
    <t>Have modeling and simulation approaches/tools been identified to support manufacturing and quality activities?</t>
  </si>
  <si>
    <t>Have modeling and simulation in development been initiated?</t>
  </si>
  <si>
    <t>Have manufacturing and quality gaps for system concepts been identified using modeling and simulation?</t>
  </si>
  <si>
    <t>Have production modeling and simulation tools been utilized to define manufacturing and quality requirements for the preferred materiel solution?</t>
  </si>
  <si>
    <t>Have modeling and simulation results been considered in the AoA?</t>
  </si>
  <si>
    <t>Have hypotheses been developed regarding cause-effect relationships between process variables and process stability and repeatability?</t>
  </si>
  <si>
    <t>Have studies been performed to test hypotheses regarding cause-effect relationships?</t>
  </si>
  <si>
    <t>Have initial process approaches been identified?</t>
  </si>
  <si>
    <t>Have cause-effect relationships between process control variables and process stability and repeatability been validated through laboratory experiments?</t>
  </si>
  <si>
    <t>Have critical process control variables been identified?</t>
  </si>
  <si>
    <t>Has the maturity of critical processes for the preferred materiel solution been assessed?</t>
  </si>
  <si>
    <t>Have hypotheses been developed regarding future state manufacturing yields and rates?</t>
  </si>
  <si>
    <t>Have studies been performed to test hypotheses regarding yields and rates?</t>
  </si>
  <si>
    <t>Have initial estimates of yields and rates for system concepts been identified through laboratory experiments?</t>
  </si>
  <si>
    <t>Have yield and rate gaps for system concepts been identified?</t>
  </si>
  <si>
    <t>Have yield and rate gap closure strategies been identified for the preferred materiel solution and documented in the SEP?</t>
  </si>
  <si>
    <t>Have quality management considerations been surveyed and included in early planning activities?</t>
  </si>
  <si>
    <t>Have quality management needs been assessed, analyzed, and validated?</t>
  </si>
  <si>
    <t>Have quality management requirements for system concepts been identified?</t>
  </si>
  <si>
    <t>Has the quality strategy for the preferred materiel solution been developed?</t>
  </si>
  <si>
    <t>Has the quality strategy for the preferred materiel solution been considered in the AoA?</t>
  </si>
  <si>
    <t>Has the quality strategy for the preferred materiel solution been documented in the SEP and the AS?</t>
  </si>
  <si>
    <t>Has the quality metrology state of the art been surveyed?</t>
  </si>
  <si>
    <t>Have hypotheses been developed regarding cause-effect relationships between technology variables and quality?</t>
  </si>
  <si>
    <t>Have system concept elements been evaluated for quality using experiments, modeling and simulation?</t>
  </si>
  <si>
    <t>Have initial product quality requirements, risks, and issues been identified?</t>
  </si>
  <si>
    <t>Have inspection technologies been identified?</t>
  </si>
  <si>
    <t>Have product quality requirements and the inspection and acceptance testing strategy for the preferred materiel solution been considered in AoA?</t>
  </si>
  <si>
    <t>Have product quality requirements and the inspection and acceptance testing strategy for the preferred materiel solution been documented in the AS?</t>
  </si>
  <si>
    <t>Have product quality risk and issue mitigation plans been documented in the SEP?</t>
  </si>
  <si>
    <t>Have supplier quality and quality management systems state of the art been surveyed?</t>
  </si>
  <si>
    <t>Have initial supplier quality and quality management systems been evaluated?</t>
  </si>
  <si>
    <t>Have supplier quality and quality management system requirements for the system concept been identified?</t>
  </si>
  <si>
    <t>Have workforce skill sets to support emerging trends in manufacturing and technology been surveyed?</t>
  </si>
  <si>
    <t>Have workforce skill sets to support emerging trends in manufacturing and technology been evaluated?</t>
  </si>
  <si>
    <t>Have workforce skill set requirements for system concepts been identified?</t>
  </si>
  <si>
    <t>Have workforce skill set capability gaps been identified?</t>
  </si>
  <si>
    <t>Have workforce skill set and production workforce requirements (technical and operational) for the preferred materiel solution been identified?</t>
  </si>
  <si>
    <t>Have workforce skill set and production workforce requirements (technical and operational) for the preferred materiel solution been considered in the AoA?</t>
  </si>
  <si>
    <t>Have workforce training and development requirements to close skill set gaps been defined?</t>
  </si>
  <si>
    <t>Has state of the art tooling, test and inspection equipment been surveyed?</t>
  </si>
  <si>
    <t>Have potential tooling, STE, and SIE requirements been identified?</t>
  </si>
  <si>
    <t>Have tooling, STE, and SIE requirements for system concepts been identified?</t>
  </si>
  <si>
    <t>Have special tooling, STE, and SIE gaps been identified?</t>
  </si>
  <si>
    <t>Have tooling/Special Test Equipment (STE)/Special Inspection Equipment (SIE) requirements for the preferred materiel solution been considered as part of AoA?</t>
  </si>
  <si>
    <t>Have current facility capabilities and capacity been surveyed?</t>
  </si>
  <si>
    <t>Have potential facility capabilities and capacity requirements been identified?</t>
  </si>
  <si>
    <t>Have manufacturing management considerations been surveyed and included in early planning activities?</t>
  </si>
  <si>
    <t>Have manufacturing management needs been assessed, analyzed and validated?</t>
  </si>
  <si>
    <t>Have manufacturing management requirements for system concepts been identified?</t>
  </si>
  <si>
    <t>Has the manufacturing strategy for the preferred materiel solution been developed?</t>
  </si>
  <si>
    <t>Has the manufacturing strategy for the preferred materiel solution been considered in the AoA?</t>
  </si>
  <si>
    <t>Has the manufacturing strategy for the preferred materiel solution been incorporated into the Acquisition Strategy?</t>
  </si>
  <si>
    <t>Have the prototype schedule risk mitigation efforts been documented in the SEP?</t>
  </si>
  <si>
    <t>Has materials planning state of the art been surveyed?</t>
  </si>
  <si>
    <t>Have initial availability, lead time, handling and storage requirements for potential materials and components been evaluated?</t>
  </si>
  <si>
    <t>Has a materials and components list for system concepts been developed?</t>
  </si>
  <si>
    <t>Have initial materials planning requirements (i.e., availability, lead times, handling, and storage) been identified?</t>
  </si>
  <si>
    <t>Has the materials and components list with estimates for availability, lead times, handling and storage requirements been developed and considered in the AoA?</t>
  </si>
  <si>
    <t>Form, fit, and function constraints, ...</t>
  </si>
  <si>
    <t>Acquisition Strategy</t>
  </si>
  <si>
    <t>DFA</t>
  </si>
  <si>
    <t>Design for Assembly</t>
  </si>
  <si>
    <t>DFM</t>
  </si>
  <si>
    <t>ESH</t>
  </si>
  <si>
    <t>MDD</t>
  </si>
  <si>
    <t>Materiel Development Decision</t>
  </si>
  <si>
    <t>User's Guide v.2022</t>
  </si>
  <si>
    <t>Industrial base including capacities and capabilities surveyed for preferred materiel solution, key technologies, components, and/or key processes. Industrial base considerations included in AoA with capability risks and issues documented in the AS.</t>
  </si>
  <si>
    <t>Industrial base analysis initiated to identify potential manufacturing sources. Sole/single/FOCI sources identified and planning initiated to minimize risks.</t>
  </si>
  <si>
    <t>Industrial base analysis initiated to ...</t>
  </si>
  <si>
    <t>FOCI</t>
  </si>
  <si>
    <t>Industrial base capacity and capability ...</t>
  </si>
  <si>
    <t>Industrial base capacity and capability analysis for MS C completed. Industrial capability is in place to support LRIP.</t>
  </si>
  <si>
    <t xml:space="preserve">Industrial base capacity and capability analysis for FRP has been completed and capability is in place to support start of FRP. </t>
  </si>
  <si>
    <t xml:space="preserve">Industrial base analysis capacity and capability supports FRP and includes support for modifications, upgrades, surge and other potential manufacturing requirements. </t>
  </si>
  <si>
    <t>Industrial base analysis capacity and ...</t>
  </si>
  <si>
    <t>Detailed producibility trade studies using knowledge of key design characteristics and related manufacturing process capability completed.   Producibility enhancement efforts (i.e., DFM, DFA, etc.) ongoing.  Manufacturing processes re-assessed as needed for capability to be tested and verified. Manufacturing processes re-assessed as needed for potential influence on O&amp;S.</t>
  </si>
  <si>
    <t>Detailed design of product features and interfaces completed. All product data essential for system manufacturing released.  Design change traffic does not significantly impact LRIP.</t>
  </si>
  <si>
    <t xml:space="preserve">Major product design features and configuration are stable. System design has been validated through operational testing of LRIP items. PCA or equivalent complete as necessary.  Design change traffic is limited. </t>
  </si>
  <si>
    <t>Product design is stable.  Design changes are few and generally limited to those required for continuous improvement or in reaction to obsolescence.</t>
  </si>
  <si>
    <t>Manufacturing technology budget initiatives developed ...</t>
  </si>
  <si>
    <t xml:space="preserve">Program has updated budget estimate for reaching MRL 6 by MS B. All outstanding MRL 5 risks and issues understood with approved mitigation plan funding in place. </t>
  </si>
  <si>
    <t xml:space="preserve">Program has reasonable budget estimate for reaching MRL 8 by MS C. Estimate includes capital investment for production-representative equipment by CDR and pilot line equipment by MS C. All outstanding MRL 6 risks and issues understood with approved mitigation plan funding in place. </t>
  </si>
  <si>
    <t xml:space="preserve">Program has updated budget estimate for reaching MRL 8 by MS C. All outstanding MRL 7 risks and issues understood with approved mitigation plan funding in place. </t>
  </si>
  <si>
    <t xml:space="preserve">Program has reasonable budget estimate for reaching MRL 9 by the FRP decision point. Estimate includes investment for LRIP and FRP. All outstanding MRL 8 risks and issues understood with approved mitigation plan funding in place. </t>
  </si>
  <si>
    <t>Program has reasonable budget estimate for FRP. All outstanding MRL 9 risks and issues understood with approved mitigation plan funding in place</t>
  </si>
  <si>
    <t>Projected lead times identified for all difficult to obtain, difficult to process, or hazardous materials. Quantities and lead times estimated. Material availability risks and issues including DMSMS for preferred materiel solution considered in AoA. Mitigation plans incorporated in SEP for the preferred system concept.</t>
  </si>
  <si>
    <t xml:space="preserve">Availability risks and issues addressed for prototype build. Significant material risks including DMSMS identified for all materials. Planning initiated to address scale-up issues.  </t>
  </si>
  <si>
    <t xml:space="preserve">Availability risks and issues addressed to meet EMD build. Long-lead items identified. Components assessed for future DMSMS risk. </t>
  </si>
  <si>
    <t>Availability risks and issues addressed to meet LRIP builds. Long lead procurements identified and mitigated.  DMSMS mitigation strategies for components in place.</t>
  </si>
  <si>
    <t>Availability risks and issues managed for LRIP. Long lead procurement initiated for LRIP. Availability issues addressed to meet FRP builds.  DMSMS mitigation ongoing.</t>
  </si>
  <si>
    <t>Long lead procurement initiated for FRP. Availability risks and issues managed for FRP.  DMSMS mitigation ongoing.</t>
  </si>
  <si>
    <t xml:space="preserve">All material availability risks and issues managed.  DMSMS mitigation ongoing. </t>
  </si>
  <si>
    <t>All material availability risks and ...</t>
  </si>
  <si>
    <t>Survey of potential suppliers for preferred materiel solution completed. Supply chain capability and capacity analyses considered in the AoA.</t>
  </si>
  <si>
    <t>Survey of potential suppliers for ...</t>
  </si>
  <si>
    <t xml:space="preserve">Potential suppliers identified and evaluated as able to support prototype build. Sole/single/FOCI suppliers and suppliers with potential obsolescence issues identified. Planning initiated to minimize risks. </t>
  </si>
  <si>
    <t>Potential suppliers identified and evaluated ...</t>
  </si>
  <si>
    <t>Supply chain proven, monitored with ...</t>
  </si>
  <si>
    <t>ESH compliance demonstrated in pilot line production. Special handling procedures (including security, physical and cyber) applied in pilot line environment and demonstrated in EMD or technology insertion programs.  Special handling risks and issues pose managed for LRIP. All work instructions contain special handling provisions as required. Hazardous material storage and disposal plan evaluated and in place for LRIP.</t>
  </si>
  <si>
    <t xml:space="preserve">ESH compliance demonstrated in LRIP. Special handling (including security, physical and cyber)  and hazardous material storage and disposal procedures demonstrated in LRIP environment.  Special handling, and hazardous material storage and disposal risks and issues managed for FRP. </t>
  </si>
  <si>
    <t xml:space="preserve">Pilot line targets achieved. Yields and rates required to begin LRIP refined using pilot line results.  Yield and/or rate improvements on-going as necessary. </t>
  </si>
  <si>
    <t xml:space="preserve">LRIP yield and rate targets achieved.  Yields and rates required to begin FRP refined using LRIP results. Yield and/or rate improvements on-going as necessary. </t>
  </si>
  <si>
    <t xml:space="preserve">FRP yield and rate targets achieved.  Yield and/or rate improvements on-going as necessary. </t>
  </si>
  <si>
    <t>FRP yield and rate targets ...</t>
  </si>
  <si>
    <t>KC management approach defined. Appropriate inspection and acceptance test procedures identified for prototype units. Initial requirements identified for in process inspection, acceptance test procedures, and final inspection requirements for EMD units.</t>
  </si>
  <si>
    <t>KC management approach defined. Appropriate ...</t>
  </si>
  <si>
    <t>Supply chain quality improvement initiatives ...</t>
  </si>
  <si>
    <t>Potential supply chain quality capabilities ...</t>
  </si>
  <si>
    <t>Potential supplier quality risks and ...</t>
  </si>
  <si>
    <t>$B$29</t>
  </si>
  <si>
    <t>$C$29</t>
  </si>
  <si>
    <t>$A$29</t>
  </si>
  <si>
    <t>$D$29</t>
  </si>
  <si>
    <t>$E$29</t>
  </si>
  <si>
    <t>$F$29</t>
  </si>
  <si>
    <t>$G$29</t>
  </si>
  <si>
    <t>$H$29</t>
  </si>
  <si>
    <t>$I$29</t>
  </si>
  <si>
    <t>$J$29</t>
  </si>
  <si>
    <t>$K$29</t>
  </si>
  <si>
    <t>$L$29</t>
  </si>
  <si>
    <t>I.3 Manufacturing OT Cybersecurity</t>
  </si>
  <si>
    <t>OT cybersecurity requirements for system concepts identified. OT cybersecurity vulnerabilities of potential manufacturing facilities identified.</t>
  </si>
  <si>
    <t>Manufacturing operations cybersecurity capabilities and cyber-vulnerabilities evaluated. OT cybersecurity approach and requirements for the preferred materiel solution considered as part of AoA. OT cybersecurity risks in the anticipated industrial base have been assessed. Identify impacts of cybersecurity measures on manufacturing processes for preferred materiel solutions. Potential supply chain OT cybersecurity and vulnerability risks identified.</t>
  </si>
  <si>
    <t>Required OT cybersecurity development efforts initiated. OT cyber Incident Reporting procedures developed. (e.g., System Security Plan). Potential OT cybersecurity measures are assessed for impacts to producibility and manufacturability. Supply chain OT cybersecurity and vulnerability risks assessed and risk management plans developed. Workforce trained as appropriate in cybersecurity. Cybersecurity requirements for OT systems identified (i.e., in-house factory systems, production equipment, STE/SIE, and tooling).</t>
  </si>
  <si>
    <t>Required OT cybersecurity solutions demonstrated in a production relevant environment. OT cyber Incident Reporting procedures in place, including reporting, tracking, and corrective actions. Supply chain OT cybersecurity and vulnerability risk mitigation plans initiated. Workforce trained as appropriate in up-to-date cybersecurity procedures for production relevant environment. Planning for OT systems (i.e., in-house factory systems, production equipment, STE/SIE, and tooling) include cybersecurity and physical/digital access requirements.</t>
  </si>
  <si>
    <t>Required OT cybersecurity solutions demonstrated in a production representative environment. OT cybersecurity Incident Reporting procedures in-place, including reporting, tracking, and corrective actions. Supply chain OT cybersecurity and vulnerability risk mitigation plans implemented. Workforce trained as appropriate in up-to-date cybersecurity procedures for production representative environment. Design of OT systems for facilities and equipment (i.e., in-house factory systems, production equipment, STE/SIE, and tooling) include cybersecurity and physical/digital controls and access requirements.</t>
  </si>
  <si>
    <t>OT cybersecurity incidents are identified and assessed. OT cyber incidents throughout the supply chain are identified and assessed. Workforce trained as appropriate in up-to-date cybersecurity procedures for a pilot line environment. Planning and documentation for LRIP facilities and equipment OT systems including cybersecurity and physical/ digital controls and access requirements complete. OT cybersecurity procedures and controls validated on a pilot line.</t>
  </si>
  <si>
    <t>OT cybersecurity incidents are identified and assessed. OT cyber incidents throughout the supply chain are identified and assessed. Workforce trained as appropriate in up-to-date cybersecurity procedures for production. Planning and documentation for FRP facilities and equipment OT systems including cybersecurity and physical/digital controls and access requirements complete. OT cybersecurity improvement efforts initiated for FRP. OT cybersecurity procedures implemented in LRIP and support FRP.</t>
  </si>
  <si>
    <t xml:space="preserve">OT cybersecurity procedures reviewed and updated. OT cybersecurity capabilities and solutions tested to support modifications, upgrades, surge and other potential manufacturing requirements. Minimal cybersecurity incident occurrence. Prompt incident identification and corrective actions minimizing impacts. Workforce trained as appropriate in up-to-date cybersecurity procedures for production. OT cybersecurity continuous improvement efforts ongoing. </t>
  </si>
  <si>
    <t>OT cybersecurity requirements for system ...</t>
  </si>
  <si>
    <t>Manufacturing operations cybersecurity capabilities and ...</t>
  </si>
  <si>
    <t>Required OT cybersecurity development efforts ...</t>
  </si>
  <si>
    <t>Required OT cybersecurity solutions demonstrated ...</t>
  </si>
  <si>
    <t>OT cybersecurity incidents are identified ...</t>
  </si>
  <si>
    <t>OT cybersecurity procedures reviewed and ...</t>
  </si>
  <si>
    <t>Acronym</t>
  </si>
  <si>
    <t>Meaning</t>
  </si>
  <si>
    <t>Reference</t>
  </si>
  <si>
    <t>DoDI 5000.02</t>
  </si>
  <si>
    <t>DoDI 5000.02 and others</t>
  </si>
  <si>
    <t>Alternative System Review</t>
  </si>
  <si>
    <t>IEEE15288.2</t>
  </si>
  <si>
    <t>Bill of Materials</t>
  </si>
  <si>
    <t>Design for Manufacturing</t>
  </si>
  <si>
    <t>Diminishing Manufacturing Sources &amp; Material Shortages</t>
  </si>
  <si>
    <t>DMSMS Guidebook (SD-22)</t>
  </si>
  <si>
    <t>Engineering and Manufacturing Development (DoD acquisition phase)</t>
  </si>
  <si>
    <t>Environmental, Safety, and Health</t>
  </si>
  <si>
    <t>Foreign Ownership, Control, or Influence</t>
  </si>
  <si>
    <t>DoDI 5000.85</t>
  </si>
  <si>
    <t>Failure, Reporting, Analysis, and Corrective Action System</t>
  </si>
  <si>
    <t>In accordance with</t>
  </si>
  <si>
    <t>AS6500 and AS9103</t>
  </si>
  <si>
    <t>MRL Deskbook</t>
  </si>
  <si>
    <t>MS A</t>
  </si>
  <si>
    <t>Milestone A (DoD Decision Point)</t>
  </si>
  <si>
    <t>MS B</t>
  </si>
  <si>
    <t>Milestone B (DoD Decision Point)</t>
  </si>
  <si>
    <t>MS C</t>
  </si>
  <si>
    <t>Milestone C (DoD Decision Point)</t>
  </si>
  <si>
    <t>Materiel Solution Analysis (DoD acquisition phase)</t>
  </si>
  <si>
    <t>Operations &amp; Support (DoD acquisition phase)</t>
  </si>
  <si>
    <t>OT</t>
  </si>
  <si>
    <t>Operational Technology</t>
  </si>
  <si>
    <t>NIST SP 800-37</t>
  </si>
  <si>
    <t>Production Configuration Audit</t>
  </si>
  <si>
    <t>Pre-MDD</t>
  </si>
  <si>
    <t>Pre-Materiel Development Decision (DoD acquisition phase)</t>
  </si>
  <si>
    <t>AS9100</t>
  </si>
  <si>
    <t xml:space="preserve">Systems Engineering Plan </t>
  </si>
  <si>
    <t>DoD 4275.5</t>
  </si>
  <si>
    <t>T&amp;E</t>
  </si>
  <si>
    <t>Test and Evaluation</t>
  </si>
  <si>
    <t>Technology Maturation and Risk Reduction (DoD acquisition phase)</t>
  </si>
  <si>
    <t>Have manufacturing operations' cybersecurity capabilities and cyber-vulnerabilities been evaluated?</t>
  </si>
  <si>
    <t>Have OT cyber Incident Reporting procedures been developed (e.g., System Security Plan)?</t>
  </si>
  <si>
    <t>Have cybersecurity requirements for OT systems been identified (i.e., in-house factory systems, production equipment, STE/SIE, and tooling)?</t>
  </si>
  <si>
    <t>Are OT cyber Incident Reporting procedures in place, including reporting, tracking, and corrective actions?</t>
  </si>
  <si>
    <t>Does the design of OT systems for facilities and equipment (i.e., in-house factory systems, production equipment, STE/SIE, and tooling) include cybersecurity and physical/digital controls and access requirements?</t>
  </si>
  <si>
    <t>Have OT cyber incidents throughout the supply chain been identified and assessed?</t>
  </si>
  <si>
    <t>Are planning and documentation for FRP facilities and equipment OT systems including cybersecurity and physical/digital controls and access requirements complete?</t>
  </si>
  <si>
    <t xml:space="preserve">Questions (also called "criteria")-  These are directly derived from the text of the MRL Matrix from the latest MRL Questionnaire enclosed a separate tab.  .      </t>
  </si>
  <si>
    <r>
      <t xml:space="preserve">This MRL Users Guide is based on guidance from </t>
    </r>
    <r>
      <rPr>
        <b/>
        <sz val="11"/>
        <color rgb="FFFF0000"/>
        <rFont val="Calibri"/>
        <family val="2"/>
        <scheme val="minor"/>
      </rPr>
      <t xml:space="preserve">DoDI 5000.02, Change 1, dated 8 Jun 2022 </t>
    </r>
    <r>
      <rPr>
        <sz val="11"/>
        <color theme="1"/>
        <rFont val="Calibri"/>
        <family val="2"/>
        <scheme val="minor"/>
      </rPr>
      <t>and consists of six worksheets:</t>
    </r>
  </si>
  <si>
    <t xml:space="preserve">Purpose:  
To assess the availability of proposed materials to understand the manufacturing risk to the program.  The lead times for proposed materials for the program should be identified at this stage. Those with long lead times or with DMSMS risks need to be closely monitored as the program transitions into acquisition
Sources of Information:  
This data should come from material, supplier management, design and manufacturing departments.
Examples of ‘Objective Evidence’:
•  Projected lead times identified and documented for all difficult to obtain, difficult to process, or hazardous materials 
•  Material quantities and lead times estimated and documented
•  SEP includes material mitigation plans
•  Forecasts generated from DMSMS predictive tools and/or direct manufacturer contact
Questions (MRL Criteria in the form of a question):
1.  Have projected lead times been identified for all difficult-to-obtain, difficult-to-process, or hazardous materials?
2.  Have material quantities and lead times been estimated?
3.  Have material availability risks and issues for the preferred materiel solution been considered in AoA?
4.  Have mitigation plans been incorporated in SEP for the preferred system concept?
5.  Have material availability risks and issues including DMSMS for preferred materiel solution been considered in AoA?
Additional Considerations:  
•  Consider historically known material limitations and compatibility issues. 
•  Will new materials or product development concepts most likely be required?
•  Is a new technology or process available to process the material?
•  Consider historically known material limitations and compatibility issues 
•  Will new materials or product development concepts most likely be required?
•  Is a new technology or process available to process the material?
•  Have design changes to minimize DMSMS issues been identified and pursued?
Lessons Learned: 
•  Hardware availability must be closely monitored as the program transitions from the R&amp;D phase to Acquisition, and it is important to understand and assess lead times of critical materials needed to support the TMRR phase.
</t>
  </si>
  <si>
    <t>Are DMSMS mitigation strategies for components in place?</t>
  </si>
  <si>
    <t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  Make/Buy decisions and Bill of Materials (BOM) complete for pilot line build 
•  Material planning systems in place for the pilot line build 
•  Risk mitigation plans 
•  Manufacturing Maturation Plans (MMPs)
•  BOM documentation
Questions (MRL Criteria in the form of a question):
1.  Have all the make or buy decisions been completed for pilot line build?
2.  Is the Bill of Materials completed for pilot line build? 
3.  Are material planning systems in place for the pilot line build?
Additional Considerations:
•  What parts do we need to make or buy (Purchasing Plan)? 
•  How many of these parts do we need (Capacity Plan)? 
•  When must these parts be available (Detailed Manufacturing Schedule)? 
•  Have you checked GIDEP and other predictive tool alerts for obsolete or DMSMS materials?
Lessons Learned:
•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t>
  </si>
  <si>
    <t>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  Material planning system 
•  Evidence that the material planning system has been validated on the FRP build 
Questions (MRL Criteria in the form of a question):
1.  Have the material planning systems (i.e., MRP II, ERP, etc.) been validated by FRP?
Additional Considerations:
•  Have you continued to check GIDEP and other predictive tool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</si>
  <si>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  Cost estimates refined based on anticipated production volumes associated with preferred materiel solution and documented
•  Cost model updated with identified cost drivers (i.e., process variables, manufacturing, materials, and special requirements) and documented
•  Quantification and documentation of cost driver uncertainty
•  Analysis of Alternatives (AoA)
•  Alternative Systems Review (ASR) documentation
Questions (MRL Criteria in the form of a question):
1.  Have cost estimates been refined based on anticipated production volumes associated with preferred materiel solution?
2.  Has cost model been updated with identified cost drivers (i.e., process variables, manufacturing, materials, and special requirements)?
3.  Has the uncertainty of these cost drivers been quantified?
4.  Does the cost model support AoA and ASR?
Additional Considerations:  
•  These are budgetary estimates for design trades and should include Basis of Estimate (BOE) considerations.
•  Probable controlling influences on cost include materiel, processes, International Traffic in Arms Regulations (ITAR), capital investment, software, test, personnel, etc.
•  Cost drivers should be considered from all parts of the product life-cycle (e.g., R&amp;D, transition to production, production ramp-up/learning, sustainment, hidden factory, logistics, repair and aftermarket, and disposal costs)
•  Cost targets can come from should-cost models which use similar existing internal products, supply chain competitor products, future state products, customer price models, etc.
Lessons Learned: 
•  The process of cost estimation and allocation has the highest probability of success if identified and implemented early in the product life-cycle. 
•  Quantities and rates at this phase are notional.
</t>
  </si>
  <si>
    <t xml:space="preserve">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
Examples of ‘Objective Evidence’:
•  TRA Report is TRL of 1 or greater
Questions (MRL Criteria in the form of a question):
1. Is the Technology Readiness at TRL 1 or greater?
</t>
  </si>
  <si>
    <t>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Questions (MRL Criteria in the form of a question):
1. Is the Technology Readiness at TRL 4 or greater?</t>
  </si>
  <si>
    <t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 TRA Report is TRL of 5 or greater
Questions (MRL Criteria in the form of a question):
1. Is the Technology Readiness at TRL 5 or greater?
</t>
  </si>
  <si>
    <t>Should be assessed at TRL 8.</t>
  </si>
  <si>
    <t>Industrial base including capacities and ...</t>
  </si>
  <si>
    <t>Industrial base capabilities for potential ...</t>
  </si>
  <si>
    <t>Potential industrial base capability gaps ...</t>
  </si>
  <si>
    <t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  Pertinent Manufacturing Science (MS) and Advanced Manufacturing Technology requirements are identified and documented
•  Analysis of Alternatives (AoA)
Questions (MRL Criteria in the form of a question):
1. Have manufacturing technology development initiatives been defined for preferred materiel solution?
2. Are manufacturing technology development requirements considered in the AoA?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
</t>
  </si>
  <si>
    <t>Manufacturing technology development initiatives defined ...</t>
  </si>
  <si>
    <t>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 Documentation for availability of process, sources and material.
Questions (MRL Criteria in the form of a question):
1. Have the required manufacturing technology development efforts been initiated?
Additional Considerations:  
• Has manufacturing risk (i.e., availability of process, sources and materials) been considered?
• The government program manager, the contractor, and the service-specific ManTech organization need to have a dialogue on critical issues that drive affordability, especially if the process has applicability to multiple platforms.
Lessons Learned: 
• Historically we have not adequately addressed the manufacturing risk in this phase of technology development, so we must start addressing these risk issues earlier in the system life cycle.</t>
  </si>
  <si>
    <t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t>
  </si>
  <si>
    <t>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  Initial producibility &amp; manufacturing assessments completed &amp; documented
•  Technology Development Strategy
•  Analysis of Alternatives (AoA)
Questions (MRL Criteria in the form of a question):
1. Are initial producibility and manufacturability assessments in selection of preferred materiel solution complete?
2. Are manufacturing technology development requirements considered in the AoA?
Additional Considerations: 
•  Is there a need to evaluate/re-evaluate materials/processes characteristics for manufacturability and/or producibility issues?  
•  Have new manufacturing concepts and potential solutions been identified that could impact manufacturability/producibility?
•  Have relevant materials/processes been evaluated for manufacturability using experimental results? 
•  Have relevant materials/processes characteristics been identified for all new items?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  Have new manufacturing concepts and potential solutions been identified that could impact manufacturability/producibility/DMSMS resilience?
Lessons Learned: 
•  Historically, manufacturability and producibility issues may not be adequately addressed early in acquisition. 
•  Producibility and manufacturability risks of the alternatives need to be presented to the decision makers before down-selecting the preferred alternative design(s) to understand the overall risk of achieving program objectives.</t>
  </si>
  <si>
    <t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  Form, fit, and function constraints, and manufacturing capabilities, identified and documented for the preferred systems concept
•  Manufacturing capability and management of manufacturing risk documented in Systems Engineering Plan (SEP)
•  Manufacturing capability and management of manufacturing risk documented in the Test and Evaluation (T&amp;E) Strategy 
•  Key Performance Parameters (KPPs) identified and documented for the preferred systems concept
Questions (MRL Criteria in the form of a question):
1. Have form, fit, and function constraints, and manufacturing capabilities, been identified for the preferred systems concept?
2. Does the SEP and T&amp;E Strategy recognize the need for the establishment/validation of manufacturing capability and management of manufacturing risk for the product lifecycle?
3. Have initial Key Performance Parameters (KPPs) been identified for the preferred systems concept?
4. Have system characteristics and measures to support required capabilities been identified?
Additional Considerations:
• Is the item design novel, or does it contain nonstandard dimensions or tolerances or arrangements?
• Are there manufacturing technologies or processes not currently available that will lead to risk in advanced technology development?
• Does DOD or industry need to make investments to create new industrial capabilities to support a robust design?
• What is the risk of industry not being able to provide new program design at planned cost and schedule?
Lessons Learned: 
• Identification of critical manufacturing technology and processes early on is critical to making low risk design trade-offs.  
• If there are major manufacturing obstacles due to unavailable or immature manufacturing technology, alternative design choices should be considered.
</t>
  </si>
  <si>
    <t>Product design and features are ...</t>
  </si>
  <si>
    <t xml:space="preserve">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information for technology impact on affordability.  Professional organizations provide the ideal forum to exchange new ideas and approaches to discovery and invention.  Gatherings of researchers from academia, industry and government, including international forums serve to further knowledge.    
Examples of ‘Objective Evidence’:
•  Hypotheses regarding technology impact on affordability developed and documented
Questions (MRL Criteria in the form of a question):
1. Have hypotheses been developed regarding technology impact on affordability?
Additional Considerations:  
• None
Lessons Learned: 
• None
</t>
  </si>
  <si>
    <t>Cost model updated with design ...</t>
  </si>
  <si>
    <t>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Is the cost model up-to-date with results of the pilot line build?
Additional Considerations:  
• None
Lessons Learned: 
• The key is to continually update your cost models as more data becomes available.</t>
  </si>
  <si>
    <t>Initial manufacturing and quality costs ...</t>
  </si>
  <si>
    <t>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  Producibility cost risks and issues for the preferred materiel solution assessed and documented 
•  Initial cost analysis support Analysis of Alternatives (AoA) 
•  Initial cost analysis support Alternative Systems Review (ASR) 
Questions (MRL Criteria in the form of a question):
1. Have producibility and lifecycle cost risks and issues been assessed for the preferred materiel solution?    
2. Does the initial cost analysis support the Analysis of Alternatives (AoA)?
3. Does the initial cost analysis support the Alternative Systems Review (ASR)?
Additional Considerations:  
• Cost analysis in the AoA can be done with a cost-weighted Pugh Concept Selection (PCS) or Quality Function Deployment (QFD) on those items with costs that can be modeled.
Lessons Learned: 
• The process of cost estimation and allocation has the highest probability of success if identified and implemented early in the product life-cycle.
• To accomplish this, use the data that is generated by a producibility analysis in the AoA and ASR.</t>
  </si>
  <si>
    <t>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 Production budget sufficient for production at the required rates and schedule
Questions (MRL Criteria in the form of a question):
1. Is the production budget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t>
  </si>
  <si>
    <t>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New material properties and characteristics for research (e.g., manufacturability, quality) surveyed, identified and documented
Questions (MRL Criteria in the form of a question):
1. Have new material properties and characteristics been surveyed and identified for research (e.g., manufacturability, quality)?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t>
  </si>
  <si>
    <t>New material properties and characteristics ...</t>
  </si>
  <si>
    <t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  Documentation showing that projected materials demonstrated in a laboratory environment 
•  Material traceability documentation
Questions (MRL Criteria in the form of a question):
1. Have new materials and components for the preferred materiel solution been demonstrated in a laboratory environment?
Additional Considerations:  
• Consider materials use in similar products or technology demonstrators and lessons learned from each.
• New materials maybe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Materials producibility and manufacturability risks must be presented to the acquisition community before transitioning to understand the overall risk of achieving program objectives.
</t>
  </si>
  <si>
    <t>Materials proven and validated during ...</t>
  </si>
  <si>
    <t xml:space="preserve">Purpose:  
To begin to identify material properties identified for research, and use this information to allow decision makers insight into availability of materials.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and availability.
Examples of ‘Objective Evidence’:
•  Global trends for material availability, obsolescence, and DMSMS surveyed and identified for research and documented
Questions (MRL Criteria in the form of a question):
1. Have global trends for material availability, obsolescence, and DMSMS been surveyed and identified for research?
Additional Considerations:  
• None
Lessons Learned: 
• None
</t>
  </si>
  <si>
    <t>Global trends for material availability, ...</t>
  </si>
  <si>
    <t xml:space="preserve">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supply chain capability and capacity gap closure strategy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Supply chain capability and capacity surveys are necessary. 
Examples of ‘Objective Evidence’:
•  Global trends for supply chain capability and capacity surveyed and documented
Questions (MRL Criteria in the form of a question):
1. Have global trends for supply chain capability and capacity been surveyed?
Additional Considerations:  
• None
Lessons Learned: 
• None
</t>
  </si>
  <si>
    <t>Potential supply chain capability and ...</t>
  </si>
  <si>
    <t>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 Program supply chain stability
• Supply chain adequate to support FRP
• Prime's supplier management metrics (including thresholds and goals) in place 
• Predictive indicators in place to manage suppliers
Questions (MRL Criteria in the form of a question):
1. Are long term supplier agreements in place where practical?
2. Are the supply chain management metrics, which include thresholds and goals in place?
3. Are the supply chain management metrics utilized to manage risks?
4. Is the use of predictive indicators to identify risks in the supply chain in place?
5. Does the supply chain management system indicate that the supply chain is adequate, sufficient, and ready to support rate production (FRP)?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</si>
  <si>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 xml:space="preserve">Purpose:
To develop a basic understanding of what materials will be required for manufacturing and to identify material handling risk to support the analysis of alternatives in the Applied Research phase. This product life-cycle level includes a basic identification of the manufacturing concepts and materials through hypotheses.  
Sources of Information:
The majority of information at this level will come from paper studies and hypotheses.
Examples of ‘Objective Evidence’:
•  Hazardous materials identified and safety procedures are in place and documented
Questions (MRL Criteria in the form of a question):
1. Have hazardous materials been identified and safety procedures are in place?
Additional Considerations:  
• None
Lessons Learned: 
• None
</t>
  </si>
  <si>
    <t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  Environmental, Safety, and Health (ESH) compliance risk documented
•  List of hazardous materials updated and documented 
•  Special handling requirements identified and documented 
•  Special handling procedures applied and documented in lab environment
•  Material list with Safety Data Sheets
•  Security classification guides documenting appropriate packaging, escorting, storage and movement procedures
•  Documented SEP
Questions (MRL Criteria in the form of a question):
1. Has Environmental, Safety, and Health (ESH) compliance risks been mitigated in the lab environment?
2. Has a list of hazardous materials been updated?
3. Has the updated list of hazardous materials been assessed for alternative materials?
4. Have special handling procedures been applied in a laboratory environment? 
5. Have disposal procedures been evaluated?
6. Have special handling requirements been identified, analyzed, and documented in the SEP?
Additional Considerations:
• Does the program have access to an ESH professional?
• Special handling requirements may also include product movement in the factory or shipping between suppliers and the prime due to size and/or weight, cleanliness, and fragility.
Lessons Learned: 
• Special handling and ESH considerations will impact all programs as they move forward. 
• Multiple laws will impact the program (Clean Air Act, Clean Water Act, Toxic Substances Control Act, National Environmental Policy Act, System Safety, Hazardous Materials Management, etc.).
• Multiple guides and instructions are available for program use as the program moves forward.
•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t>
  </si>
  <si>
    <t>Modeling and simulation approaches/tools identified ...</t>
  </si>
  <si>
    <t>Modeling and simulation in development ...</t>
  </si>
  <si>
    <t>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TMRR.
Sources of Information:  
This data should come from model and simulation, design and manufacturing departments.
Examples of ‘Objective Evidence’:
•  Production modeling and simulation approaches for process or product identified and documented for the preferred materiel solution
•  Analysis of Alternatives (AoA)
Questions (MRL Criteria in the form of a question):
1. Have production modeling and simulation tools been utilized to define manufacturing and quality requirements for the preferred materiel solution?
2. Have modeling and simulation results been considered in the AoA?
Additional Considerations:  
• Do process flow charts accurately capture all critical process operations?
Lessons Learned: 
• Historically we have not adequately addressed manufacturing risk in this phase of technology development, so we must start addressing what models and simulation tools we will use to assess the manufacturing operation earlier in the acquisition process. 
• Value Stream Maps are a useful tool to understand manufacturing constraints.</t>
  </si>
  <si>
    <t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  Simulation models developed at the technology sub-system or system level
Questions (MRL Criteria in the form of a question):
1.  Have the initial modeling &amp; simulation been developed at the sub-system or system level?
2.  Have the initial modeling &amp; simulations been used to determine system constraints?
Additional Considerations:  
•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
Lessons Learned: 
•  Any simulation models need to incorporate actual build data where available, continually be updated to reflect changes, and be representative of the whole system.  </t>
  </si>
  <si>
    <t>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  Completed survey determining the current state of the maturity of critical processes for the preferred materiel solution
•  SEP includes process capability requirements and improvement plans
Questions (MRL Criteria in the form of a question):
1. Has the maturity of critical processes for the preferred materiel solution been assessed?
2. Have process capability requirements and improvement plans been developed and documented in the SEP?
Additional Considerations:  
• What are the critical processes that need attention at this stage of the product life-cycle?
Lessons Learned: 
• We must assess current critical process capability versus that required and use the data in AoAs and in the ASRs.</t>
  </si>
  <si>
    <t xml:space="preserve">Purpose:  
To demonstrate process capability to meet FRP objectives. The program actual build data must support program objectives.
Sources of Information:  
This data should come from cost design and manufacturing departments.
Examples of ‘Objective Evidence’:
• Process demonstration documented
• Process capability requirements documented
Questions (MRL Criteria in the form of a question):
1. Are manufacturing processes stable, capable, and adequately controlled (i.e., meeting Cpks)?
2. Have manufacturing processes achieved program rate production (FRP) objectives?
Additional Considerations:  
• None
Lessons Learned: 
• Continually update process capability assessments as more data becomes available and use this data to determine the likelihood of continually meeting program objectives. </t>
  </si>
  <si>
    <t>Purpose:  
To develop hypotheses on the yields and rates needed for concepts. To effectively transition R&amp;D projects one should address the manufacturing maturity of the concepts under development.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Examples of ‘Objective Evidence’:
•  Hypotheses regarding future state manufacturing yields and rates developed and documented
Questions (MRL Criteria in the form of a question):
1. Have hypotheses been developed regarding future state manufacturing yields and rates?
Additional Considerations:  
• None
Lessons Learned: 
• None</t>
  </si>
  <si>
    <t>Purpose:  
To develop hypotheses on the yields and rates needed in R&amp;D. To effectively transition R&amp;D projects one should address the manufacturing maturity of the concepts under development.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Examples of ‘Objective Evidence’:
•  Studies to test hypotheses regarding yields and rates performed and documented
Questions (MRL Criteria in the form of a question):
1. Have studies been performed to test hypotheses regarding yields and rates? 
Additional Considerations:  
• None
Lessons Learned: 
• None</t>
  </si>
  <si>
    <t>Yield and rate assessments on ...</t>
  </si>
  <si>
    <t>Purpose: 
To lay the groundwork for ongoing Quality Management System development concurrent with concept exploration.  To consider potential effects of quality on new products or manufacturing technologies and any technology development related to quality processes in the concept phase. Quality management consideration for concepts are surveyed.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Examples of ‘Objective Evidence’:
•  Quality management considerations surveyed and included in early planning activities 
Questions (MRL Criteria in the form of a question):
1.  Have quality management considerations been surveyed and included in early planning activities? 
Additional Considerations:  
• None
Lessons Learned: 
• None</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</si>
  <si>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strategy for the preferred materiel solution documented
•  Quality strategy identified and documented for the preferred materiel solution in the AoA
•  Quality strategy documented in the System Engineering Plan (SEP) and contractor System Engineering Management Plan (SEMP)
•  Quality strategy documented in the AS
Questions (MRL Criteria in the form of a question):
1. Has the quality strategy for the preferred materiel solution been developed?
2. Has the quality strategy for the preferred materiel solution been considered in the AoA?
3. Has the quality strategy for the preferred materiel solution been documented in the SEP and the AS?
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t>
  </si>
  <si>
    <t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strategy documented and updated to reflect Key Characteristic identification activities 
Questions (MRL Criteria in the form of a question):
1.  Does the quality strategy include activities for Key Characteristic identification?
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  Per Quality Management Systems requirements (e.g., AS9100), the Quality Manager is to report to the ‘Executive Level’ within companies.
</t>
  </si>
  <si>
    <t>Quality strategy updated to reflect ...</t>
  </si>
  <si>
    <t>Purpose: 
To lay the groundwork for ongoing Quality Management System development concurrent with concept exploration, in parallel with the development of a manufacturing capability for concepts.  To document potential effects of quality on new products or manufacturing technologies and any technology development related to quality processes in the concept phase. Hypotheses of cause-effect relationships between technology variables and quality should be addressed.
Sources of Information: 
The majority of information for product quality planning may come from historical data and product quality plans from like systems.  For example, if you are pursuing a new concept you may want to look at previous concept development activities. 
Examples of ‘Objective Evidence’:
•  Quality metrology state of the art surveyed and documented
•  Hypotheses regarding cause-effect relationships between technology variables and quality developed and documented
Questions (MRL Criteria in the form of a question):
1. Has the quality metrology state of the art been surveyed?
2. Have hypotheses been developed regarding cause-effect relationships between technology variables and quality?
Additional Considerations:  
• None
Lessons Learned: 
• None</t>
  </si>
  <si>
    <t>Quality metrology state of the ...</t>
  </si>
  <si>
    <t>Product quality requirements and the ...</t>
  </si>
  <si>
    <t xml:space="preserve">Purpose: 
To lay the groundwork for ongoing Quality Management System development concurrent with system design, in parallel with the development of a manufacturing capability for system concepts as they apply to supplier quality management.  To document potential effects of quality on new supplier products or manufacturing technologies and any technology development related to quality processes in the concept phase.  
Sources of Information:  
This data should come from supplier management, quality, design, and manufacturing departments.
Examples of ‘Objective Evidence’:                                  
•  Supplier quality and quality management systems state of the art surveyed and documented
Questions (MRL Criteria in the form of a question):
1. Have supplier quality and quality management systems state of the art been surveyed?
Additional Considerations:  
• None
Lessons Learned: 
• None
</t>
  </si>
  <si>
    <t>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 Evidence of supplier management of quality of Key Characteristics and other critical manufacturing processes demonstrate capability and control for FRP
• Evidence of supplier management of quality of Key Characteristics and other critical manufacturing processes demonstrate capability and control for FRP
• Subcontractor Quality Audits documentation
Questions (MRL Criteria in the form of a question):
1. Does analysis of supplier quality data show that supplier quality management of Key Characteristics, as well as other critical-to-quality manufacturing processes are capable and under control ready for rate production (FRP)? 
2. Is acceptance testing of supplier products (i.e., processes and throughput) adequate to begin FRP?
3.  Are quality audits of subcontractor processes to ensure subcontractor compliance to specifications being performed?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t>
  </si>
  <si>
    <t>Purpose: 
To evaluate whether new manufacturing skills will be needed to produce the alternatives being considered and if so, to assess the risk of obtaining required skills to build the prototypes needed. Contractors need to establish very early whether new skills will be required and risk associated with obtaining those skills to meet program requirements. The skills might have to be developed prior to building prototype articles in the earliest phase of a program. 
Sources of Information: 
The Quality Manager, Design Engineer, Manufacturing Engineer, and Resource Management will be good places to get an understanding of the skills needed. 
Examples of ‘Objective Evidence’:
•  Workforce skill sets to support emerging trends in manufacturing and technology surveyed and documented
Questions (MRL Criteria in the form of a question):
1. Have workforce skill sets to support emerging trends in manufacturing and technology been surveyed?
Additional Considerations:  
• None
Lessons Learned: 
• None</t>
  </si>
  <si>
    <t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  Analysis of Alternatives (AoA)
•  Necessary manufacturing workforce skills identified and documented – employee &amp; personnel training records
•  Production workforce requirements (technical and operational) evaluated – employee &amp; personnel training records
•  Availability of the process development workforce for the Technology Maturation and Risk Reduction Phase documented
Questions (MRL Criteria in the form of a question):
1. Have workforce skill set and production workforce requirements (technical and operational) for the preferred materiel solution been identified?
2. Have workforce skill set and production workforce requirements (technical and operational) for the preferred materiel solution been considered in the AoA?
3. Have workforce training and development requirements to close skill set gaps been defined?
4. Has the availability of the workforce for TMRR Phase been determined?
Additional Considerations:
•  Do existing personnel have similar skills to those required and/or can they be cost-effectively cross trained?
Lessons Learned: 
•  When you are looking at skills, you must account for all resources required to build, test/inspect and support labor (e.g. Manufacturing Engineers) for the units. 
•  If there is a new process, or tolerances are more difficult, there exists a stronger probability of new or critical skills required that may be difficult to obtain.
</t>
  </si>
  <si>
    <t xml:space="preserve">Purpose:  
To identify tooling, test and inspection equipment for characterizing the state of the manufacturing state of the art through the outcome of scientific discovery. To use this information to understand cost and performance risk of selecting the best alternative and to begin risk planning to address potential risks. The contractor must determine whether new/specialized tooling, STE, and SIE are needed to produce hardware for the conceopts being considered. If special tooling, STE, and SIE will be needed, you must begin addressing the risk to achieving program requirements.
Sources of Information:  
This data should come from facilities, design and manufacturing departments.
Examples of ‘Objective Evidence’:
•  State of the art tooling, test and inspection equipment surveyed and documented
Questions (MRL Criteria in the form of a question):
1. Has state of the art tooling, test and inspection equipment been surveyed?
Additional Considerations:  
• None
Lessons Learned: 
• None
</t>
  </si>
  <si>
    <t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requirements been identified and documented as part of AoA
Questions (MRL Criteria in the form of a question):
1. Have tooling/Special Test Equipment (STE)/Special Inspection Equipment (SIE) requirements for the preferred materiel solution been considered as part of AoA?
Additional Considerations:  
• None
Lessons Learned: 
• Tooling and test equipment can be major cost and risk drivers and must be addressed in the AoA. If new/unique tooling and test equipment is required, this must be tracked through EMD.
</t>
  </si>
  <si>
    <t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requirements been identified and documented
•  Schedule for the tooling and STE/SIE requirements is documented
Questions (MRL Criteria in the form of a question):
1.  Have the requirements for tooling, Special Test Equipment, and/or Special Inspection Equipment been identified?
2.  Do the identified requirements for tooling, Special Test Equipment, and/or Special Inspection Equipment include a supporting rationale?
3.  Has a schedule for required tooling, Special Test Equipment, and/or Special Inspection Equipment been developed?
Additional Considerations:  
•  None
Lessons Learned: 
•  Tooling and test equipment can be major cost and risk drivers and must be addressed in the AoA.  If new/unique tooling and test equipment is required, this must be tracked through EMD.
</t>
  </si>
  <si>
    <t>Tooling and STE/SIE requirements identified ...</t>
  </si>
  <si>
    <t xml:space="preserve">Purpose:  
To identify whether current facility capabilities and capacity requirements for the manufacturing state of the art. To use this information to understand cost and performance risk of selecting the best alternative and to begin risk planning to address potential risks. The contractor must determine whether facility capabilities and capacity are available to produce items being considered. If additional facility capabilities and capacity will be needed, you must begin addressing the risk to achieving program requirements.
Sources of Information:  
This data should come from facilities, design and manufacturing departments.
Examples of ‘Objective Evidence’:
•  Current facility capabilities and capacity surveyed and documented
Questions (MRL Criteria in the form of a question):
1. Have current facility capabilities and capacity been surveyed? 
Additional Considerations:  
• None
Lessons Learned: 
• None
</t>
  </si>
  <si>
    <t>Potential facility capabilities and capacity ...</t>
  </si>
  <si>
    <t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  Availability of manufacturing facilities for prototype development and production evaluated and documented 
•  Analysis of Alternatives (AoA) includes availability of manufacturing facilities for prototype development and production
•  AS and SEP includes availability of manufacturing facilities for prototype development and production
Questions (MRL Criteria in the form of a question):
1. Have capability and availability of manufacturing facilities for prototype development and production of the preferred materiel solution been evaluated?
2. Have capability and availability of manufacturing facilities for prototype development and production of the preferred materiel solution been included in the AoA?
3. Have capability and availability of manufacturing facilities for prototype development and production of the preferred materiel solution been documented in the AS and SEP?
4. Has human factors &amp; ergonomics and safety requirements for manufacturing (personnel, processes &amp; equipment) been identified?
Additional Considerations:  
• Is available capital sufficient for required facilities, test equipment and tooling?
Lessons Learned: 
•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 When you move to a new facility you need to address lost learning and ensure engineering and manufacturing support is in place.
</t>
  </si>
  <si>
    <t>Capability and availability of manufacturing ...</t>
  </si>
  <si>
    <t xml:space="preserve">Purpose: 
To ensure there is a well-documented roadmap to achieve manufacturing maturity.  DOD case studies and GAO reports have demonstrated that the failure to adequately manage manufacturing risk early in the product development life cycle is a root cause of cost and schedule growth. Manufacturing readiness must be addressed early in the acquisition process and all phases of Science and Technology (S&amp;T).  
Sources of Information:
This data should come from engineering and manufacturing departments.
Examples of ‘Objective Evidence’:
•  Manufacturing management considerations surveyed and included in early planning activities and documented
Questions (MRL Criteria in the form of a question):
1. Have manufacturing management considerations been surveyed and included in early planning activities?
Additional Considerations:  
• None
Lessons Learned: 
• None
</t>
  </si>
  <si>
    <t>Manufacturing management considerations surveyed and ...</t>
  </si>
  <si>
    <t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  Manufacturing strategy for the preferred materiel solution documented 
•  AoA includes the manufacturing strategy for the preferred materiel solution
•  AS includes the manufacturing strategy for the preferred materiel solution
•  Prototype schedule risk mitigation efforts documented in the SEP
Questions (MRL Criteria in the form of a question):
1. Has the manufacturing strategy for the preferred materiel solution been developed?
2. Has the manufacturing strategy for the preferred materiel solution been considered in the AoA?
3. Has the manufacturing strategy for the preferred materiel solution been incorporated into the Acquisition Strategy?
4. Have the prototype schedule risk mitigation efforts been documented in the SEP?
Additional Considerations:
•  Has a make-or-buy plan been developed for critical items at this stage?
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t>
  </si>
  <si>
    <t>Mfg. strategy refined based upon ...</t>
  </si>
  <si>
    <t>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 Initial manufacturing plan developed
• Manufacturing planning required to achieve MRL 8 included in Integrated Master Plan/Schedule (IMP/S)
• Manufacturing risks integrated into risk mitigation plans 
• Initial work instructions developed 
• Production control system in place to support the pilot line 
• Documented program risk process
Questions (MRL Criteria in the form of a question):
1. Has the initial manufacturing plan been developed?
2. Have manufacturing events from the initial Manufacturing Plan been included in the Integrated Master Plan and/or the Integrated Master Schedule?
3. Have manufacturing risks and issues been integrated into program mitigation plans?
4. Have initial work instructions been developed? 
5. Is an effective production control system in place to support the pilot line?
Additional Considerations:
•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 Manufacturing Risks – Manufacturing risks should have been identified and fed into the overall system risk management process.  Proposed solutions should be verified in the Pilot Line build and system qualification tests.
Lessons Learned:
•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t>
  </si>
  <si>
    <t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 Integrated Master Plan/Schedule (IMP/S)
• Documented program risk process includes manufacturing risks
• All manufacturing risks have approved MMPs
Questions (MRL Criteria in the form of a question):
1. Are all manufacturing risks and issues being managed?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</si>
  <si>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Manufacturing readiness must be addressed early in the acquisition process and all phases of Science and Technology (S&amp;T).  
Sources of Information:
This data should come from engineering and manufacturing departments. 
Examples of ‘Objective Evidence’:
•  Materials planning state of the art surveyed and documented
Questions (MRL Criteria in the form of a question):
1. Has materials planning state of the art been surveyed? 
Additional Considerations:  
• None
Lessons Learned: 
• None
</t>
  </si>
  <si>
    <t>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  AoA includes the materials and components list with estimates for availability, lead times, handling and storage requirements
Questions (MRL Criteria in the form of a question):
1. Has the materials and components list with estimates for availability, lead times, handling and storage requirements been developed and considered in the AoA?
Additional Considerations:
• None
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  The list of material needed for Technology Development components should be developed, with associated lead time estimates.</t>
  </si>
  <si>
    <t>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  Risk mitigation plans 
•  Manufacturing Maturation Plans (MMPs)
•  BOM documentation
•  Make/Buy decisions documented
Questions (MRL Criteria in the form of a question):
1.  Have most make or buy trade studies been completed?
2.  Have materials risks and issues been assessed (identified)? 
3.  Have mitigation plans for the identified materials risks and issues been developed?
4.  Has the Bill of Materials (BOM) been initiated?
Additional Considerations:
•  Have you checked GIDEP alerts for obsolete or DMSMS materials?
Lessons Learned:
•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The development of the BOM should be initiated.  
•  A major goal in this phase is to mature the material selection process, but even more important, to identify, assess, and mitigate manufacturing risk before proceeding to EMD.
•  It is important for engineers and program managers to be aware of GIDEP alerts that will inform them of parts and materials that are either obsolete or about to become obsolete so they can avoid their use in new designs, if possible.</t>
  </si>
  <si>
    <t>D.2 - Availability of Raw Materials (Raw Materials, Components, Subassemblies, and Subsystems)</t>
  </si>
  <si>
    <t>Production-Relevant Environment</t>
  </si>
  <si>
    <t>Production-Representative Environment</t>
  </si>
  <si>
    <t>Technical Data Package (TDP) - Commercial</t>
  </si>
  <si>
    <t>Technical Data Package (TDP) - DOD</t>
  </si>
  <si>
    <t xml:space="preserve">MRL 5:  Capability to produce prototype components in a production-relevant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t>
  </si>
  <si>
    <t xml:space="preserve">MRL 6:  Capability to produce a prototype system or subsystem in a production-relevant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t>
  </si>
  <si>
    <t xml:space="preserve">Manufacturing technology efforts continuing.  Required manufacturing technology development solutions demonstrated in a production-relevant environment. </t>
  </si>
  <si>
    <t>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  Documented producibility &amp; manufacturing assessments
•  Trade studies
•  Documented manufacturing process assessments
Questions (MRL Criteria in the form of a question):
1.  Have producibility &amp; manufacturability assessments of key technologies and components been initiated?
2.  Do the ongoing design trades include consideration of manufacturing processes and industrial base capability constraints? 
3. Have the manufacturing processes been assessed for capability to be tested and verified in production? 
4.  Have the manufacturing processes been assessed for their influence during the Operations and Support (O&amp;S) phase?
Additional Considerations:
•  Have all relevant materials/processes been evaluated for manufacturability and producibility in a production-relevant environment?
•  Can properly trained production personnel ultimately repeat the prototype work performed by engineers?
•  Is the tooling and methods used, if applicable, be applicable ultimately in production?
•  What are the ultimate manufacturing cost implications when in production? 
•  Were manufacturing SMEs at least involved as observers of the prototypes being developed by systems/design engineering?
•  Did manufacturing and DMSMS SMEs observe the prototypes being developed by systems/design engineering?
Lessons Learned: 
•  Historically manufacturability and producibility issues are ignored early in acquisition. 
•  Producibility and manufacturability risks of the alternatives need to be presented to the decision makers before down-selecting the preferred alternative design(s) to understand the overall risk of achieving program objectives.
•  As the programs move from Milestone A into the TMRR phase there is a tendency for the manufacturing community to be insufficiently involved as a key team member.
•  If manufacturability and producibility are continuously evaluated as the product technology design matures redesign costs and schedule delays can be avoided.</t>
  </si>
  <si>
    <t xml:space="preserve">Prototype components produced in a production-relevant environment, or simulations drive end-to-end cost models. Cost model includes materials, labor, equipment, tooling/STE/SIE, setup, yield/scrap/rework, WIP, and capability/capacity  constraints.   </t>
  </si>
  <si>
    <t xml:space="preserve">Cost model updated with design requirements, material specifications, tolerances, IMS, results of system/subsystem simulations and  production-relevant prototype demonstrations.  </t>
  </si>
  <si>
    <t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  Documented cost model information
•  Integrated Master Schedule (IMS)
Questions (MRL Criteria in the form of a question):
1.  Is the cost model up-to-date?
2.  In addition to prior elements, does the updated cost model include design requirements, material specifications, tolerances, consideration of the Integrated Master Schedule, the results of system and/or subsystem simulations, and demonstrations of production-relevant prototypes? 
Additional Considerations:  
•  Include quantities in the Design to Cost (DTC) estimate.  DTC numbers should have more fidelity, if not completely firm, and assumptions should be clearly identified.  
•  Are cost targets in place and cost drivers clearly understood?
Lessons Learned: 
•  The cost model needs to be populated actual prototype build data as soon as possible, and it must continually be updated to reflect changes.
</t>
  </si>
  <si>
    <t xml:space="preserve">Manufacturing technology budget initiatives developed and incorporated to reduce costs. Program has reasonable budget estimate for reaching MRL 6 by MS B. Estimate includes capital investment for production-relevant equipment. All outstanding MRL 4 risks and issues understood with approved mitigation plan funding in place. </t>
  </si>
  <si>
    <t xml:space="preserve">Purpose:  
To understand how the materials are being produced for prototypes and compare those results to what is required to achieve program objectives.  To do initial assessment of materials in a production-relevant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  Documentation showing that materials have been manufactured or produced in a prototype environment (e.g., production-relevant)
•  Maturation efforts documented for new material production risks and issues
Questions (MRL Criteria in the form of a question):
1.  Have all materials been manufactured or produced in a prototype environment (e.g., production-relevant)?
2.  Were any materials manufactured or produced a similar application and/or program?
3.  Are material maturation efforts in place to address risks and issues from producing new materials for the technology demonstration?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Materials producibility and manufacturability risks must be presented to the acquisition community before transitioning to understand the overall risk of achieving program objectives.
•  Develop a plan to address material maturity risk as the program goes through TMRR and transitions into EMD.
</t>
  </si>
  <si>
    <t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  Material verification documentation
•  Material specifications
•  Material properties characterization documented
Questions (MRL Criteria in the form of a question):
1.  Have technology demonstration articles (e.g., prototypes) verified maturity of materials?
2.  Are preliminary material specifications in place?
3.  Have material properties been adequately characterized to enable producing prototypes in a production-relevant environment?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Execute the plan to address material maturity risk as the program goes through TMRR and transitions into EMD.
</t>
  </si>
  <si>
    <t xml:space="preserve">ESH requirements and special handling procedures applied in production-relevant environment. Special handling requirement (including security, physical and cyber) gaps identified. New special handling processes demonstrated in lab environment. </t>
  </si>
  <si>
    <t>Manufacturing processes demonstrated in production-relevant environment.  Collection or estimation of process capability data from prototype build and refinement of process capability requirements initiated.</t>
  </si>
  <si>
    <t xml:space="preserve">Purpose:  
To demonstrate process capability in a production-relevant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  Process demonstration documentation
•  Process capability data from prototype build documented
•  Process capability requirements documented
Questions (MRL Criteria in the form of a question):
1.  Have the manufacturing processes been demonstrated in a production-relevant environment?
2.  Has collection or estimation of process capability data from prototype builds been initiated?
3.  Has refinement of process capability requirements from prototype builds been initiated?
Additional Considerations:  
•  You should understand risk that each selected alternative presents--especially for critical processes.
Lessons Learned: 
•  The need for realism in the process capability assessment requires using actual hardware build data as soon as possible.
</t>
  </si>
  <si>
    <t>Yields and rates from production-relevant environment evaluated against targets and the results feed improvement plan.</t>
  </si>
  <si>
    <t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Plan and a Quality Management System documented
•  Quality risks and metrics identified and improvement plans initiated
Questions (MRL Criteria in the form of a question):
1.  Is an initial Quality Plan (QP) in place?
2.  Is a Quality Management System (QMS) in place?
3.  Have risks and issues impacting quality been identified?
4.  Have quality metrics been identified?
5.  Have improvement plans to mitigate quality risks and issues been initiated?
Additional Considerations:
•  What data is available from similar, more mature, systems to assist in quality planning?
•  Does data from similar systems provide confidence in the QMS to be used on this program?
•  Are there any lessons learned on quality strategies from other similar system?
•  To properly assess risks in EMD, the effect of quality on cost, schedule and performance should not be ignored.
Lessons Learned: 
•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  Per Quality Management Systems requirements (e.g., AS9100), the Quality Manager is to report to the ‘Executive Level’ within companies.
</t>
  </si>
  <si>
    <t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  Roles and responsibilities documented for acceptance test procedures, in-process and final inspections 
•  Statistical process controls been identified and documented for prototype units 
•  Policies/procedures documented for identification and management of key characteristics 
Questions (MRL Criteria in the form of a question):
1.  Have roles and responsibilities for acceptance test procedures been identified?
2.  Have roles and responsibilities in-process and final inspections been identified?
3.  Have roles and responsibilities for statistical process controls for prototype units been identified?
Additional Considerations:
•  Were the prototype components built and inspected in a production-relevant environment?
•  What constitutes a relevant environment for your product (system)?
Lessons Learned: 
•  A production-relevant environment is different for different products and is often dependent on rates and quantities of items being produced and the complexity of those items.  For example, a production-relevant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t>
  </si>
  <si>
    <t>Purpose: 
To reduce risk by producing prototype components in a production-relevant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production-relevant environment will come from the manufacturing/industrial engineering and quality departments.
Examples of ‘Objective Evidence’:
•  Necessary manufacturing workforce skills identified and documented – employee &amp; personnel training records
•  Manufacturing workforce skill sets plan for prototype production – employee &amp; personnel training records
•  Special skills certification and training requirements established and documented
Questions (MRL Criteria in the form of a question):
1.  Have the required skill sets to meet prototype and production been identified?
2.  Are plans to meet prototype and production workforce requirements developed?
3.  Have requirements for special skills certification and training (i.e., included in workforce plan(s) been established? 
Additional Considerations:
•  Do existing personnel have similar skills to those required and/or can they be cost-effectively cross trained?
Lessons Learned: 
•  Focus on skills required for new processes, materials or performance requirements either in building or inspection of the products. 
•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t>
  </si>
  <si>
    <t xml:space="preserve">Manufacturing workforce skills available for the production-relevant environment. Resources (quantities and skill sets) identified and initial plans developed to achieve requirements for pilot line and production. </t>
  </si>
  <si>
    <t>Prototype tooling and STE/SIE concepts demonstrated in production-relevant environment. Requirements development efforts for production tooling and STE/SIE complete.</t>
  </si>
  <si>
    <t xml:space="preserve">Purpose:  
To understand what new/unique tooling and test equipment is required for a program by building prototype units in a production-relevant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concepts demonstration documentation
•  Production tooling and STE/SIE requirements documentation
Questions (MRL Criteria in the form of a question):
1.  Have prototype tooling, Special Test Equipment, and/or Special Inspection Equipment concepts been demonstrated in production-relevant environment?  
2.  Are efforts to develop requirements for production tooling, Special Test Equipment, and/or Special Inspection Equipment complete?  
Additional Considerations:  
•  None
Lessons Learned: 
•  Tooling and test equipment can be major cost and risk drivers and should have been addressed in the AoA. If new/unique tooling and test equipment are required it must be demonstrated in a production-relevant environment. 
•  It is very important that the customer work with the contractor to determine what defines a production-relevant environment.
</t>
  </si>
  <si>
    <t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  Documentation for the identification of manufacturing facilities to produce prototypes 
•  Plans for the manufacturing facilities to produce prototypes
Questions (MRL Criteria in the form of a question):
1.  Have manufacturing facilities that meet requirements to produce prototypes been identified?
2.  Have plans to produce prototypes in identified facilities been developed?
3.  Have requirements for human factors and ergonomics for manufacturing personnel, processes, and equipment in identified facilities been assessed?
Additional Considerations:  
•  Have sufficient funds been budgeted for required facilities, test equipment and tooling?
•  It is very important to begin discussions in this phase to identify what is a production-relevant environment for facilities.
Lessons Learned: 
•  The facilities used for the prototype must be assessed from both the perspective of producing prototypes and how they will simulate a production-relevant environment. 
•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t>
  </si>
  <si>
    <t>Manufacturing facilities identified and plans developed to produce pilot line build. Human factors &amp; ergonomics and safety requirements for manufacturing (personnel, processes &amp; equipment) verified in a production-relevant environment.</t>
  </si>
  <si>
    <t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  Documentation for manufacturing strategy refined based upon the preferred concept 
•  Documented prototype schedule risk mitigation efforts initiated 
Questions (MRL Criteria in the form of a question):
1.  Based upon the preferred concept, has the manufacturing strategy been refined?
2.  Have mitigation efforts concerning schedule risk of prototypes (i.e., testing and delivery schedules) been initiated?
Additional Considerations:
•  A make-or-buy plan should have been developed for critical items at this stage.
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  A major goal in TMRR is to mature the manufacturing process, but even more important, to identify, assess, and mitigate manufacturing risk before proceeding into EMD.
</t>
  </si>
  <si>
    <t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production-relevant environment. 
Sources of Information:
This data should come from engineering and manufacturing departments.
Examples of ‘Objective Evidence’:
•  Initial manufacturing approach documentation
•  Integrated Master Plan/Schedule (IMP/S)
•  Documented program risk process
Questions (MRL Criteria in the form of a question):
1.  Has the initial manufacturing approach for the next phase (EMD) been developed?
2.  Are all system design related manufacturing events included in the Integrated Master Plan/Schedule (IMP/IMS)?
3.  For either the pilot line and/or technology insertion, has a mitigation approach for manufacturing risks and issues been defined?
Additional Considerations:
•  A make-or-buy plan should be developed for all BOM items at this stage.
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  A major goal in this phase is to mature the manufacturing process, but even more important, to identify, assess, and mitigate manufacturing risk before proceeding to EMD.
</t>
  </si>
  <si>
    <t>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t>
  </si>
  <si>
    <t xml:space="preserve">MRL 7:  Capability to produce systems, subsystems, or components in a production-representative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production-representative environment and that they will be capable of producing in pilot line production.  Preparations are also beginning for the manufacture of qualification test hardware. 
</t>
  </si>
  <si>
    <t xml:space="preserve">Manufacturing technology efforts continuing.  Required manufacturing technology development solutions demonstrated in a production-representative environment. </t>
  </si>
  <si>
    <t>Purpose:  
To use demonstrated results from a production-representative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 Costs analyzed using pilot line actuals to ensure target costs are achievable
• Manufacturing cost analysis documented to support proposed changes to requirements or configuration
• Ongoing cost reduction initiatives documented
Questions (MRL Criteria in the form of a question):
1. Have pilot line actual costs been included in cost analyses to verify achievability of target costs?
2. Have proposed changes to requirements or configuration been subject to a manufacturing cost analysis?
3. Are the cost reduction and cost avoidance initiatives ongoing?
4. Have the manufacturing cost drivers for the "Should-Cost" models been updated?
Additional Considerations:  
• Is actual cost data from pilot line builds being used?
• Include updated costs from suppliers including yield/rework which might affect cost of LRIP and FRP manufacturing.
Lessons Learned: 
• Though the cost model may be using actual pilot line build data, it must continually be updated to reflect changes.
• When updating the cost model with pilot line build cost data, it may be appropriate to leverage similar technology/process data to “tune” the model (e.g., transition from Pilot Line to Production shows standard learning curves may not be appropriate).</t>
  </si>
  <si>
    <t xml:space="preserve">Purpose:  
To use demonstrated results from a production-representative environment to verify material specifications are sufficiently mature to achieve production requirements.  
Sources of Information:  
This data should come from material, supplier management, design and manufacturing departments.
Examples of ‘Objective Evidence’:
• Material maturity sufficient for pilot line build
• Material specifications have been approved
Questions (MRL Criteria in the form of a question):
1. Is the material maturity sufficient for a pilot line build?
2. Have material specifications been approved?
Additional Considerations:  
• Consider lead times, obsolescence, new suppliers where availability is not proven, sole/ foreign sources, volume rates that are higher than typical, ITAR, REACH concerns, etc.
Lessons Learned: 
• Material maturity must be continually assessed in this program phase, and the focus should be on transition to production.
</t>
  </si>
  <si>
    <t>ESH compliance demonstrated in production-representative environment. Special handling procedures (including security, physical and cyber) applied in production-representative environment. Special handling procedures developed and annotated on work instructions for pilot line. Hazardous material storage and disposal plan in place for the pilot line.</t>
  </si>
  <si>
    <t>Purpose:  
To use demonstrated results from a production-representative environment to verify accuracy of models/simulations and use this information to identify risk/constraints and improvement opportunities. The program needs verify the realism of the models/simulations by using actual build data from a production-representative environment.  
Sources of Information:  
This data should come from model/simulation, design and manufacturing departments.
Examples of ‘Objective Evidence’:
• Simulation models used to determine system constraints and identify improvement opportunities
Questions (MRL Criteria in the form of a question):
1. Have the modeling &amp; simulations been used to determine system constraints?
2. Have the modeling &amp; simulations been used to identify improvement opportunities?
Additional Considerations:  
•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 Continually update models/simulation tools as more data becomes available. 
• Accurate models and simulations will identify constraints and improvement opportunities early and provide time to work the issues that arise before transition to production.</t>
  </si>
  <si>
    <t>Manufacturing processes demonstrated in a production-representative environment. Collection and/or estimation of process capability data and refinement of process capability requirements ongoing and used to shape process improvement plans.</t>
  </si>
  <si>
    <t xml:space="preserve">Purpose:  
To assess the yields and rates achieved building prototypes in a production-relevant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  Yields and rates and targets documented and evaluated against targets
•  Improvement plans reflect results from the yields and rates from the production-relevant environment
Questions (MRL Criteria in the form of a question):
1.  Are yields and rates from the production-relevant environment being evaluated against production-representative environment targets?
2.  Are results of the evaluation of production-relevant yields and rates included in the ongoing improvement plans?
Additional Considerations:  
•  Exercise caution, because even if you meet yield requirements in pre-EMD, the risk could still be high for production quantities.
Lessons Learned: 
•  The yields being demonstrated versus what are required is a best indicator to provide the current maturity and risk of proceeding forward.
•  If yields are below 60% on critical processes at this stage, you need to monitor this process very closely.
•  This is a good to time to assess design requirements versus process capability to see if opportunities exist to improve yields and rates without compromising performance requirements.
</t>
  </si>
  <si>
    <t>Yields and rates from production-representative environment evaluated against pilot line targets and the results feed improvement plans.</t>
  </si>
  <si>
    <t>Manufacturing workforce resource requirements identified and plans developed to achieve pilot line requirements.  Plans to achieve LRIP workforce requirements updated.  Pilot line workforce trained in production-representative environment.</t>
  </si>
  <si>
    <t xml:space="preserve">Manufacturing facilities identified and plans developed to produce LRIP build. Human factors &amp; ergonomics and safety practices for manufacturing (personnel, processes &amp; equipment) validated in a production-representative environment. </t>
  </si>
  <si>
    <t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LRIP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 Quality Management System elements (e.g., control of nonconforming material, corrective action, etc.) meet requirements of appropriate industry standards
• Program-specific Quality Plan being developed
Questions (MRL Criteria in the form of a question):
1. Are yields and rates from the production-representative environment being evaluated against pilot line targets? 
2. Are results of an evaluation of the production-representative yields and rates included in the ongoing improvement plans? 
Additional Considerations:
• What quality targets are in place, and what is your status in achieving these targets?
• Does data from similar systems provide confidence in the QMS which will be used on this program?
• What progress has been made with regard to quality improvement initiatives?
Lessons Learned: 
•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 Per Quality Management Systems requirements (e.g., AS9100), the Quality Manager is to report to the ‘Executive Level’ within companies.
</t>
  </si>
  <si>
    <t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FRP.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FRP.
Examples of ‘Objective Evidence’:
• Program-specific quality plan and Quality Manager established and documented
• Quality targets have been assessed against the pilot line, and quality target assessments drive continuous quality improvement
Questions (MRL Criteria in the form of a question):
1. Has the program-specific Quality Program Plan been established?
2. Has a program-specific Quality Manager been assigned?
3. Have the previously established quality targets for pilot line been met? 
4. Have results of an evaluation of pilot line quality data actuals against quality targets been used for continuous quality improvement? 
Additional Considerations:
• What quality targets are in place, and what is your status in achieving these targets?
• Does quality data from production-representative and pilot line units provide confidence in the QMS which will be used on this program?
• Is the QMS compliant with AS 9100 or ISO9001?
Lessons Learned: 
•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FRP.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 Per Quality Management Systems requirements (e.g., AS9100), the Quality Manager is to report to the ‘Executive Level’ within companies.
</t>
  </si>
  <si>
    <t>Purpose: 
To demonstrate that the manufacturing processes are under control and that workforce skills are available to achieve FRP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 Manufacturing workforce skills documented – employee &amp; personnel training records
• Manufacturing workforce resource plan – employee &amp; personnel training records
Questions (MRL Criteria in the form of a question):
1. Have all workforce requirements for FRP been met?
2. In spite of any workforce attrition, are required production workforce skill sets being maintained?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t>
  </si>
  <si>
    <t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LRIP?
· Is the supply chain established and stable with materials available to meet planned LRIP?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FRP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t>
  </si>
  <si>
    <t xml:space="preserve">Physical Configuration Audit (PCA)
     The PCA is conducted around the time of the FRP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t>
  </si>
  <si>
    <t>Purpose:  
To use results from a production-representative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production-representative environment. The program needs data to make updates to improvement plans. 
Sources of Information:  
This data should come from quality, design, and manufacturing departments.
Examples of ‘Objective Evidence’:
• Yields and rates from the production-representative environment evaluated against pilot line targets
• Improvement plans reflect results from the yields and rates from the production-representative environment
Questions (MRL Criteria in the form of a question):
1. Are yields and rates from the production-representative environment being evaluated against pilot line targets? 
2. Are results of an evaluation of the production-representative yields and rates included in the ongoing improvement plans? 
Additional Considerations:  
• Exercise caution, because even if you meet yield requirements in EMD, the risk could still be high for FRP quantities.
Lessons Learned: 
• Continually update yield and rate targets as more data becomes available and use the data to make informed program decisions and process improvements. 
• Not achieving targets by this time will demonstrate the need to closely monitor this effort and identify mitigations to minimize the impact of not achieving your targets.</t>
  </si>
  <si>
    <t>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 Key Characteristic management control documented
• Quality data documentation provides evidence that targeted statistical level on all Key Characteristics have been achieved  
• Quality data reflects continuous improvement
Questions (MRL Criteria in the form of a question):
1. Are all Key Characteristics being managed and in control for FRP?
2. Are all Key Characteristics meeting required targets?
3. Does quality data show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FRP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</si>
  <si>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 Supplier quality data reflects adequate management of Key Characteristics and control of critical manufacturing processes
• Process quality data shows evidence of high statistical level (e.g. 6-sigma) on all critical dimensions 
• Subcontractor Quality Audits documentation
• Supply base quality improvement initiatives documentation
Questions (MRL Criteria in the form of a question):
1. Does analysis of supplier quality data show adequate management of Key Characteristics and control of critical manufacturing processes  (i.e., meeting Cpks), including supplier quality management of subtier suppliers?
2. Do results of analysis of supplier quality data show a high statistical level (e.g. 6-sigma) on all critical dimensions?
3. Are quality audits of subcontractor processes to ensure subcontractor compliance to specifications being performed?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FRP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t>
  </si>
  <si>
    <t xml:space="preserve">     The Production and Deployment Phase commences at Milestone C. During the Production and Deployment phase, the system should achieve operational capability that satisfies mission needs.
     Two work efforts, separated by the FRP Decision Review, comprise the Production and Deployment Phase: Low-Rate Initial Production and FRP and Deployment.
     Effective employment of systems engineering, applied in accordance with a well structured Systems Engineering Plan, and monitored with meaningful technical reviews, will reduce program risk and identify potential management issues in a timely manner.</t>
  </si>
  <si>
    <t xml:space="preserve">     The program manager should use existing manufacturing processes whenever possible. When the design requires new manufacturing capabilities, the program manager needs to consider process flexibility (e.g., rate and configuration insensitivity). FRP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t>
  </si>
  <si>
    <t xml:space="preserve">Purpose:  
To ensure Operational Technology cybersecurity requirements and vulnerabilities of potential manufacturing facilities have been considered early in the life cycle.
Sources of Information:  
• NIST SP 800-37, “Risk Management Framework for Information Systems and Organizations”
• Defense Federal Acquisition Regulation Supplement (DFARS) Clause 252.204-7012, “Safeguarding Covered Defense Information and Cyber Incident Reporting”
• DOD Instruction 5200.48, “Controlled Unclassified Information (CUI)”
Examples of ‘Objective Evidence’:
• OT Cybersecurity risks in the anticipated industrial base
• Potential OT Cybersecurity vulnerabilities of the facility
• Security Control Traceability Matrix (SCTM)
Questions (MRL Criteria in the form of a question):
1.  Have OT Cybersecurity requirements for system concepts been identified?
2.  Have OT Cybersecurity vulnerabilities of potential manufacturing facilities been identified?
Additional Considerations: 
• While surveying the industrial base for preferred material solutions, it is also important to understand the cybersecurity posture of the potential solutions and consider those risks as part of the AoA.  In some cases this may be a survey of:  availability of firmware or software updates, system maintenance support, projected obsolescence, or other specifications that indicated the cybersecurity measures/providers include features to prevent impact of cyber-attacks (such as industrial control system ransomware).
Lessons Learned: 
• In some cases, investment such as Manufacturing Technology (ManTech) or program investments to make improvements in manufacturing equipment/environments for cybersecurity needs to be identified during early system development (i.e. pre-MRL 3).  Other cases public-private consortiums or industry forums need to be formed to address these gaps early prior to Systems Requirements Review/Systems Functional Review (SRR/SFR). 
</t>
  </si>
  <si>
    <t>Manufacturing operations cybersecurity capabilities and cyber-vulnerabilities evaluated. OT Cybersecurity approach and requirements for the preferred materiel solution considered as part of AoA. OT Cybersecurity risks in the anticipated industrial base have been assessed. Identify impacts of cybersecurity measures on manufacturing processes for preferred materiel solutions. Potential supply chain OT Cybersecurity and vulnerability risks identified.</t>
  </si>
  <si>
    <t xml:space="preserve">Purpose:  
To ensure Operational Technology cybersecurity requirements and vulnerabilities of potential manufacturing facilities have been considered early in the life cycle.
Sources of Information:  
•  NIST SP 800-37, “Risk Management Framework for Information Systems and Organizations”
•  Defense Federal Acquisition Regulation Supplement (DFARS) Clause 252.204-7012, “Safeguarding Covered Defense Information and Cyber Incident Reporting”
•  DOD Instruction 5200.48, “Controlled Unclassified Information (CUI)”
Examples of ‘Objective Evidence’:
•  Assessment of OT Cybersecurity risks in the anticipated industrial base
•  AoA, including OT Cybersecurity approach 
•  Evaluation of manufacturing operations cybersecurity capabilities and cyber-vulnerabilities
Questions (MRL Criteria in the form of a question):
1.  Have manufacturing operations' cybersecurity capabilities and cyber-vulnerabilities been evaluated?
2.  Have the OT Cybersecurity approach and requirements for the preferred materiel solution been considered as part of AoA?
3.  Have OT Cybersecurity risks in the anticipated industrial base been assessed?
4.  Have the risks of cybersecurity measures on manufacturing processes for preferred materiel solutions been identified and minimized?
5.  Have potential supply chain OT Cybersecurity and vulnerability risks been identified?
Additional Considerations:  
•  While surveying the industrial base for preferred material solutions, it is also important to understand the cybersecurity posture of the potential solutions and consider those risks as part of the AoA.  In some cases this may be a survey of:  availability of firmware or software updates, system maintenance support, projected obsolescence, or other specifications that indicated the cybersecurity measures/providers include features to prevent impact of cyber-attacks (such as industrial control system ransomware).
•  When possible, the supply chains of the potential industrial base should also be assessed for vulnerabilities to disruption, influence, or direct malicious insertion of cyber modifications.  This may require direct participation with the potential solution provider (solution providers may be commercial industry, DoD contractors, or DoD organic industrial base) to fully understand the risks.
•  High-level supply chain risks of many companies or products can be identified with open source information.  Additional detailed risk information can be collected during Requests for Information (RFIs), supply chain risk illumination, or supply chain due diligence vetting processes.
Lessons Learned: 
•  In some cases, investment such as Manufacturing Technology (ManTech) or program investments to make improvements in manufacturing equipment/environments for cybersecurity needs to be identified during early system development (i.e. pre-MRL 3).  Other cases public-private consortiums or industry forums need to be formed to address these gaps early prior to Systems Requirements Review/Systems Functional Review (SRR/SFR). 
</t>
  </si>
  <si>
    <t>Required OT Cybersecurity development efforts initiated. OT cyber Incident Reporting procedures developed. (e.g., System Security Plan). Potential OT Cybersecurity measures are assessed for impacts to producibility and manufacturability. Supply chain OT Cybersecurity and vulnerability risks assessed and risk management plans developed. Workforce trained as appropriate in cybersecurity. Cybersecurity requirements for OT systems identified (i.e., in-house factory systems, production equipment, STE/SIE, and tooling).</t>
  </si>
  <si>
    <t xml:space="preserve">Purpose:  
To ensure the impacts of Operational Technology cybersecurity measures on producibility and manufacturability have been considered.  To ensure OT Cybersecurity issues in the supply chain have been highlighted and addressed.  To ensure OT Cybersecurity has been taken into consideration in the planning for tooling, test equipment, facilities, etc.  
Sources of Information:  
NIST SP 800-37, “Risk Management Framework for Information Systems and Organizations”
Defense Federal Acquisition Regulation Supplement (DFARS) Clause 252.204-7012, “Safeguarding Covered Defense Information and Cyber Incident Reporting”
DOD Instruction 5200.48, “Controlled Unclassified Information (CUI)”
Examples of ‘Objective Evidence’:
•  Assessment of industrial base/supply chain OT Cybersecurity and vulnerability risks and issues
•  Associated Risk Management Plans
•  Cybersecurity requirements for Operational Technology (OT) systems
•  Approach for OT Cybersecurity
•   Procedures for handling cybersecurity OT incidents (e.g., System Security Plan) - Ref DFARS 252.204-7012
•  Special handling procedures
•  Cybersecurity training program and records
•  Computer Security Incident Response Capability Plan
Questions (MRL Criteria in the form of a question):
1.  Have required OT Cybersecurity development efforts been initiated?
2.  Have OT cyber Incident Reporting procedures been developed (e.g., System Security Plan)?
3.  Have potential OT Cybersecurity measures been assessed for impacts to producibility and manufacturability?
4.  Have supply chain OT Cybersecurity and vulnerability risks been assessed and risk management plans developed?
5.  Has the workforce been trained as appropriate in cybersecurity?
6.  Have cybersecurity requirements for OT systems been identified (i.e., in-house factory systems, production equipment, STE/SIE, and tooling)?
Additional Considerations:  
Industrial Base
•  While surveying the industrial base for preferred material solutions, it is also important to understand the cybersecurity posture of the potential solutions and consider those risks as part of the AoA.  In some cases this may be a survey of:  availability of firmware or software updates, system maintenance support, projected obsolescence, or other specifications that indicated the cybersecurity measures/providers include features to prevent impact of cyber-attacks (such as industrial control system ransomware).  
Producibility
•  Some cybersecurity improvements can affect the manufacturing process or timing and may impact the producibility or quality of a product.   These cybersecurity measures (i.e. security software) need to be understood through testing in a relevant environment. 
Supply Chain Management
•  When possible, the supply chains of the potential industrial base should also be assessed for vulnerabilities to disruption, influence, or direct malicious insertion of cyber modifications.  This may require direct participation with the potential solution provider (solution providers may be commercial industry, DoD contractors, or DoD organic industrial base) to fully understand the risks.
•  High-level supply chain risks of many companies or products can be identified with open source information.  Additional detailed risk information can be collected during Requests for Information (RFIs), supply chain risk illumination, or supply chain due diligence vetting processes.
Special Handling
•  Special handling of materials or storage environment should also consider cybersecurity
•  MRL material planning should include a securing materials element for purchasing, accepting, storage and movement.
•  Special handling procedures should include considerations for physical security of the facility, manufacturing floor, and manufacturing systems.  For example, when test/measurement equipment is pulled offline and sent to a metrology facility, or to an external contractor for annual calibration, the digital information stored within should be considered.  If the test equipment was used for producing classified products, its internal memory, flash storage or internal hard drive should be sanitized following federal procedures that are tailored to the limitations of the test equipment. 
•  Additional handling procedures for manufacturing materials may also include a cyber-enabled solution (i.e. proximity badge readers) that logs all personnel accessing special materials.  This can aid in safety of personnel by ensuring that only authorized individuals have access to the material storage areas as well as traceability.  The cyber-enabled solution may also aid in a lock-out-tag-out control of a hazardous situation, but if not carefully planned could hinder emergency management.
Manufacturing Workforce
•  Are manufacturing/production associated personnel aware of OT Cybersecurity protection concepts or risks that could lead to manufacturing security issues? 
Tooling/STE/SIE
•  In some cases, a joint investment with the potential solution providers to make cybersecurity improvements in preferred manufacturing equipment may be needed.  In today’s cybersecurity risk environment, the solution provider will also likely see an added commercial market benefit to the improvements across product lines.
•  Strong accountability of production staff for equipment or production tools.
•  Regular cybersecurity and integrity checks of production software or firmware.
•  Consider cyber risks for embedded systems within manufacturing equipment (i.e. individual processor and network interfaces for each embedded component of a piece of equipment).  
•  Are periodic reviews or audits of testers of other support equipment conducted?
• Are potential cyber impacts addressed during equipment testing for the unit under test?
•  Enable two-factor authentication if possible.  If not possible, prevent shared passwords and ensure that default passwords expire after first use, forcing it to be changed with an enforced policy for strong passwords.
•  Ensure continuous monitoring and asset identification procedures are in place and effective.  Rogue devices or evil twin/unauthorized Wi-Fi should be detected and alerted.
•  Manufacturing cybersecurity vulnerabilities may impact produced technology by disrupting the production flow, reducing the quality, or may introduce malicious flaws in the product. One example includes an intentional cyber modification of the calibration factors, such as programmed tolerances, to create the malicious effect. Consider whether a vulnerability should be fixed in the design, accepted due to low risk or impact, or tested to understand impact. Surveillance of the problem/vulnerability should be considered by the organization’s cybersecurity team—cybersecurity tools that scan for threats to known vulnerabilities, or for unexpected changes indicating there may have been a penetration—or for an actual penetration should be agreed to by the Prime Contractor to ensure the tools do not cause damage to the manufacturing equipment. 
•  Consider “sun-setting” OT technology within an ongoing program when there is an operational impact due to issues such as:
•  Inability to upgrade or patch systems (end of life operating systems, applications).
•  Well known vulnerabilities that have not been patched.
•  A lifetime buy of spares may need to be considered in some circumstances.
Facilities
•  Does the site security planning include Operational Technology? 
•  Do security plans include integration of IT security with computer-based OT equipment? 
•  Facilities: each technical review for manufacturing readiness should include a security review of the site and associated facilities.
•  For Government owned and operated manufacturing facilities, and facilities that are operated on behalf of the Government, the MRL assessment team should verify  independent penetration testing performed for the facility, and all aspects associated with manufacturing to assess the ability to protect, detect, react, and recover to cyber events.  The testing should be performed at a pre-determined (threat or risk informed) recurring frequency, possibly unannounced, and should include physical penetration testing.
•  For non-Government owned or operated on behalf of the Government, independent cybersecurity testing is highly recommended as it raises awareness of opportunities to better secure the manufacturing facility and protect its quality system.
Manufacturing Planning &amp; Scheduling
•  Digital integrity of production files (CAD, STP, Gerber, etc.) should be considered.  Altered files can lead to incorrect parts and components. 
•  Monitor the operational technology interfaces to the business units and the implications of a cybersecurity incident occurrence. 
Materials Planning
•  As part of the make/buy decision processes for manufacturing systems, the cybersecurity of the OT should be considered, along with identifying risks and mitigation plans.  One specific topic includes the Bill of Materials (BOM).  Cybersecurity solutions should also include a catalog of its hardware (and if possible consider a software BOM), and entered into the change control processes.  In addition, the manufacturing system should have a way to protect the BOM of the design details, and items to be produced, or the BOM related automation data (such as STL file for a pick and place machine). 
Lessons Learned: 
N/A
</t>
  </si>
  <si>
    <t>Required OT Cybersecurity solutions demonstrated in a production-relevant environment. OT cyber Incident Reporting procedures in place, including reporting, tracking, and corrective actions. Supply chain OT Cybersecurity and vulnerability risk mitigation plans initiated. Workforce trained as appropriate in up-to-date cybersecurity procedures for production-relevant environment. Planning for OT systems (i.e., in-house factory systems, production equipment, STE/SIE, and tooling) include cybersecurity and physical/digital access requirements.</t>
  </si>
  <si>
    <t xml:space="preserve">Purpose:  
To ensure the impacts of Operational Technology cybersecurity measures on producibility and manufacturability have been considered.  To ensure OT Cybersecurity issues in the supply chain have been highlighted and addressed.  To ensure OT Cybersecurity has been taken into consideration in the planning for tooling, test equipment, facilities, etc.  
Sources of Information:  
•  NIST SP 800-37, “Risk Management Framework for Information Systems and Organizations”
•  Defense Federal Acquisition Regulation Supplement (DFARS) Clause 252.204-7012, “Safeguarding Covered Defense Information and Cyber Incident Reporting”
•  DOD Instruction 5200.48, “Controlled Unclassified Information (CUI)”
Examples of ‘Objective Evidence’:
•  Initial Industrial Base/Supply chain OT cyber security and vulnerability risk mitigation plans
•  Cybersecurity requirements for OT systems (i.e., in-house factory systems, production equipment, STE/SIE, and tooling)
•  Initial System Security Plan
•  OT Cyber Incident Reporting procedures - Ref DFARS 252.204-7012
•  Special handling procedures
•  Cybersecurity training program and records
•  Computer Security Incident Response Capability Plan
Questions (MRL Criteria in the form of a question):
1.  Have required OT Cybersecurity solutions been demonstrated in a production-relevant environment?
2.  Are OT cyber Incident Reporting procedures in place, including reporting, tracking, and corrective actions?
3.  Have supply chain OT Cybersecurity and vulnerability risk mitigation plans been initiated?
4.  Has the workforce been trained as appropriate in up-to-date cybersecurity procedures for production-relevant environment?
5.  Does planning for OT systems (i.e., in-house factory systems, production equipment, STE/SIE, and tooling) include cybersecurity and physical/digital access requirements?
Additional Considerations:  
Industrial Base
•  While surveying the industrial base for preferred material solutions, it is also important to understand the cybersecurity posture of the potential solutions and consider those risks as part of the AoA.  In some cases this may be a survey of:  availability of firmware or software updates, system maintenance support, projected obsolescence, or other specifications that indicated the cybersecurity measures/providers include features to prevent impact of cyber-attacks (such as industrial control system ransomware).  
Producibility
•  Some cybersecurity improvements can affect the manufacturing process or timing and may impact the producibility or quality of a product.   These cybersecurity measures (i.e. security software) need to be understood through testing in a relevant environment. 
Supply Chain Management
•  When possible, the supply chains of the potential industrial base should also be assessed for vulnerabilities to disruption, influence, or direct malicious insertion of cyber modifications.  This may require direct participation with the potential solution provider (solution providers may be commercial industry, DoD contractors, or DoD organic industrial base) to fully understand the risks.
•  High-level supply chain risks of many companies or products can be identified with open source information.  Additional detailed risk information can be collected during Requests for Information (RFIs), supply chain risk illumination, or supply chain due diligence vetting processes.
Special Handling
•  Special handling of materials or storage environment should also consider cybersecurity
•  MRL material planning should include a securing materials element for purchasing, accepting, storage and movement.
•  Special handling procedures should include considerations for physical security of the facility, manufacturing floor, and manufacturing systems.  For example, when test/measurement equipment is pulled offline and sent to a metrology facility, or to an external contractor for annual calibration, the digital information stored within should be considered.  If the test equipment was used for producing classified products, its internal memory, flash storage or internal hard drive should be sanitized following federal procedures that are tailored to the limitations of the test equipment. 
•  Additional handling procedures for manufacturing materials may also include a cyber-enabled solution (i.e. proximity badge readers) that logs all personnel accessing special materials.  This can aid in safety of personnel by ensuring that only authorized individuals have access to the material storage areas as well as traceability.  The cyber-enabled solution may also aid in a lock-out-tag-out control of a hazardous situation, but if not carefully planned could hinder emergency management.
Manufacturing Workforce
•  Are manufacturing/production associated personnel aware of OT Cybersecurity protection concepts or risks that could lead to manufacturing security issues? 
Tooling/STE/SIE
•  In some cases, a joint investment with the potential solution providers to make cybersecurity improvements in preferred manufacturing equipment may be needed.  In today’s cybersecurity risk environment, the solution provider will also likely see an added commercial market benefit to the improvements across product lines.
•  Strong accountability of production staff for equipment or production tools.
•  Regular cybersecurity and integrity checks of production software or firmware.
•  Consider cyber risks for embedded systems within manufacturing equipment (i.e. individual processor and network interfaces for each embedded component of a piece of equipment).  
•  Are periodic reviews or audits of testers of other support equipment conducted?
•  Are potential cyber impacts addressed during equipment testing for the unit under test?
•  Enable two-factor authentication if possible.  If not possible, prevent shared passwords and ensure that default passwords expire after first use, forcing it to be changed with an enforced policy for strong passwords.
•  Ensure continuous monitoring and asset identification procedures are in place and effective.  Rogue devices or evil twin/unauthorized Wi-Fi should be detected and alerted.
•  Manufacturing cybersecurity vulnerabilities may impact produced technology by disrupting the production flow, reducing the quality, or may introduce malicious flaws in the product. One example includes an intentional cyber modification of the calibration factors, such as programmed tolerances, to create the malicious effect. Consider whether a vulnerability should be fixed in the design, accepted due to low risk or impact, or tested to understand impact. Surveillance of the problem/vulnerability should be considered by the organization’s cybersecurity team—cybersecurity tools that scan for threats to known vulnerabilities, or for unexpected changes indicating there may have been a penetration—or for an actual penetration should be agreed to by the Prime Contractor to ensure the tools do not cause damage to the manufacturing equipment. 
•  Consider “sun-setting” OT technology within an ongoing program when there is an operational impact due to issues such as:
•  Inability to upgrade or patch systems (end of life operating systems, applications).
•  Well known vulnerabilities that have not been patched.
•  A lifetime buy of spares may need to be considered in some circumstances.
Facilities
•  Does the site security planning include Operational Technology? 
•  Do security plans include integration of IT security with computer-based OT equipment? 
•  Facilities: each technical review for manufacturing readiness should include a security review of the site and associated facilities.
•  For Government owned and operated manufacturing facilities, and facilities that are operated on behalf of the Government, the MRL assessment team should verify  independent penetration testing performed for the facility, and all aspects associated with manufacturing to assess the ability to protect, detect, react, and recover to cyber events.  The testing should be performed at a pre-determined (threat or risk informed) recurring frequency, possibly unannounced, and should include physical penetration testing.
•  For non-Government owned or operated on behalf of the Government, independent cybersecurity testing is highly recommended as it raises awareness of opportunities to better secure the manufacturing facility and protect its quality system.
Manufacturing Planning &amp; Scheduling
•  Digital integrity of production files (CAD, STP, Gerber, etc.) should be considered.  Altered files can lead to incorrect parts and components. 
•  Monitor the operational technology interfaces to the business units and the implications of a cybersecurity incident occurrence. 
Materials Planning
•  As part of the make/buy decision processes for manufacturing systems, the cybersecurity of the OT should be considered, along with identifying risks and mitigation plans.  One specific topic includes the Bill of Materials (BOM).  Cybersecurity solutions should also include a catalog of its hardware (and if possible consider a software BOM), and entered into the change control processes.  In addition, the manufacturing system should have a way to protect the BOM of the design details, and items to be produced, or the BOM related automation data (such as STL file for a pick and place machine). 
Lessons Learned: 
N/A
</t>
  </si>
  <si>
    <t>Required OT Cybersecurity solutions demonstrated in a production-representative environment. OT Cybersecurity Incident Reporting procedures in-place, including reporting, tracking, and corrective actions. Supply chain OT Cybersecurity and vulnerability risk mitigation plans implemented. Workforce trained as appropriate in up-to-date cybersecurity procedures for production-representative environment. Design of OT systems for facilities and equipment (i.e., in-house factory systems, production equipment, STE/SIE, and tooling) include cybersecurity and physical/digital controls and access requirements.</t>
  </si>
  <si>
    <t xml:space="preserve">Sources of Information:  
•  NIST SP 800-37, “Risk Management Framework for Information Systems and Organizations”
•  Defense Federal Acquisition Regulation Supplement (DFARS) Clause 252.204-7012, “Safeguarding Covered Defense Information and Cyber Incident Reporting”
•  DOD Instruction 5200.48, “Controlled Unclassified Information (CUI)”
Examples of ‘Objective Evidence’:
•  Supply chain OT cyber security and vulnerability risk mitigation plans
•  Cybersecurity controls as part of OT systems designs (i.e., in-house factory systems, production equipment, STE/SIE, and tooling) 
•  Planned facility layouts
•  System Security Plan
•  OT Cyber Incident Reporting procedures - Ref DFARS 252.204-7012
•  Special handling procedures
•  Cybersecurity training program and records
•  Computer Security Incident Response Capability Plan
Questions (MRL Criteria in the form of a question):
1.  Have required OT Cybersecurity solutions been demonstrated in a production-representative environment?
2.  Are OT Cybersecurity Incident Reporting procedures in-place, including reporting, tracking, and corrective actions?
3.  Have supply chain OT Cybersecurity and vulnerability risk mitigation plans been implemented? 
4.  Has the workforce been trained as appropriate in up-to-date cybersecurity procedures for production-representative environment?
5.  Does the design of OT systems for facilities and equipment (i.e., in-house factory systems, production equipment, STE/SIE, and tooling) include cybersecurity and physical/digital controls and access requirements?
Additional Considerations:  
Producibility
•  Some cybersecurity improvements can affect the manufacturing process or timing and may impact the producibility or quality of a product.   These cybersecurity measures (i.e. security software) need to be understood through testing in a relevant environment. 
Supply Chain Management
•  When possible, the supply chains of the potential industrial base should also be assessed for vulnerabilities to disruption, influence, or direct malicious insertion of cyber modifications.  This may require direct participation with the potential solution provider (solution providers may be commercial industry, DoD contractors, or DoD organic industrial base) to fully understand the risks.
•  High-level supply chain risks of many companies or products can be identified with open source information.  Additional detailed risk information can be collected during Requests for Information (RFIs), supply chain risk illumination, or supply chain due diligence vetting processes.
Special Handling
•  Special handling of materials or storage environment should also consider cybersecurity
•  MRL material planning should include a securing materials element for purchasing, accepting, storage and movement.
•  Special handling procedures should include considerations for physical security of the facility, manufacturing floor, and manufacturing systems.  For example, when test/measurement equipment is pulled offline and sent to a metrology facility, or to an external contractor for annual calibration, the digital information stored within should be considered.  If the test equipment was used for producing classified products, its internal memory, flash storage or internal hard drive should be sanitized following federal procedures that are tailored to the limitations of the test equipment. 
•  Additional handling procedures for manufacturing materials may also include a cyber-enabled solution (i.e. proximity badge readers) that logs all personnel accessing special materials.  This can aid in safety of personnel by ensuring that only authorized individuals have access to the material storage areas as well as traceability.  The cyber-enabled solution may also aid in a lock-out-tag-out control of a hazardous situation, but if not carefully planned could hinder emergency management.
Manufacturing Workforce
•  Are manufacturing/production associated personnel aware of OT Cybersecurity protection concepts or risks that could lead to manufacturing security issues? 
Tooling/STE/SIE
•  In some cases, a joint investment with the potential solution providers to make cybersecurity improvements in preferred manufacturing equipment may be needed.  In today’s cybersecurity risk environment, the solution provider will also likely see an added commercial market benefit to the improvements across product lines.
•  Strong accountability of production staff for equipment or production tools.
•  Regular cybersecurity and integrity checks of production software or firmware.
•  Consider cyber risks for embedded systems within manufacturing equipment (i.e. individual processor and network interfaces for each embedded component of a piece of equipment).  
•  Are periodic reviews or audits of testers of other support equipment conducted?
•  Are potential cyber impacts addressed during equipment testing for the unit under test?
•  Enable two-factor authentication if possible.  If not possible, prevent shared passwords and ensure that default passwords expire after first use, forcing it to be changed with an enforced policy for strong passwords.
•  Ensure continuous monitoring and asset identification procedures are in place and effective.  Rogue devices or evil twin/unauthorized Wi-Fi should be detected and alerted.
•  Manufacturing cybersecurity vulnerabilities may impact produced technology by disrupting the production flow, reducing the quality, or may introduce malicious flaws in the product. One example includes an intentional cyber modification of the calibration factors, such as programmed tolerances, to create the malicious effect. Consider whether a vulnerability should be fixed in the design, accepted due to low risk or impact, or tested to understand impact. Surveillance of the problem/vulnerability should be considered by the organization’s cybersecurity team—cybersecurity tools that scan for threats to known vulnerabilities, or for unexpected changes indicating there may have been a penetration—or for an actual penetration should be agreed to by the Prime Contractor to ensure the tools do not cause damage to the manufacturing equipment. 
•  Consider “sun-setting” OT technology within an ongoing program when there is an operational impact due to issues such as:
•  Inability to upgrade or patch systems (end of life operating systems, applications).
•  Well known vulnerabilities that have not been patched.
•  A lifetime buy of spares may need to be considered in some circumstances.
Facilities
•  Does the site security planning include Operational Technology? 
•  Do security plans include integration of IT security with computer-based OT equipment? 
•  Facilities: each technical review for manufacturing readiness should include a security review of the site and associated facilities.
•  For Government owned and operated manufacturing facilities, and facilities that are operated on behalf of the Government, the MRL assessment team should verify  independent penetration testing performed for the facility, and all aspects associated with manufacturing to assess the ability to protect, detect, react, and recover to cyber events.  The testing should be performed at a pre-determined (threat or risk informed) recurring frequency, possibly unannounced, and should include physical penetration testing.
•  For non-Government owned or operated on behalf of the Government, independent cybersecurity testing is highly recommended as it raises awareness of opportunities to better secure the manufacturing facility and protect its quality system.
Manufacturing Planning &amp; Scheduling
•  Digital integrity of production files (CAD, STP, Gerber, etc.) should be considered.  Altered files can lead to incorrect parts and components. 
•  Monitor the operational technology interfaces to the business units and the implications of a cybersecurity incident occurrence. 
Materials Planning
•  As part of the make/buy decision processes for manufacturing systems, the cybersecurity of the OT should be considered, along with identifying risks and mitigation plans.  One specific topic includes the Bill of Materials (BOM).  Cybersecurity solutions should also include a catalog of its hardware (and if possible consider a software BOM), and entered into the change control processes.  In addition, the manufacturing system should have a way to protect the BOM of the design details, and items to be produced, or the BOM related automation data (such as STL file for a pick and place machine). 
Lessons Learned: 
N/A
</t>
  </si>
  <si>
    <t>OT Cybersecurity incidents are identified and assessed. OT cyber incidents throughout the supply chain are identified and assessed. Workforce trained as appropriate in up-to-date cybersecurity procedures for a pilot line environment. Planning and documentation for LRIP facilities and equipment OT systems including cybersecurity and physical/ digital controls and access requirements complete. OT Cybersecurity procedures and controls validated on a pilot line.</t>
  </si>
  <si>
    <t xml:space="preserve">Purpose:  
To ensure Operational Technology cybersecurity measures are in place on the pilot line and support LRIP, including in-house and throughout the supply chain.  
Sources of Information:  
•  NIST SP 800-37, “Risk Management Framework for Information Systems and Organizations”
•  Defense Federal Acquisition Regulation Supplement (DFARS) Clause 252.204-7012, “Safeguarding Covered Defense Information and Cyber Incident Reporting”
•  DOD Instruction 5200.48, “Controlled Unclassified Information (CUI)”
Examples of ‘Objective Evidence’:
•  Assessments of OT cyber incidents, including those throughout the supply chain - ref DFARS 252.204-7012
•  Design of OT systems (i.e., in-house factory systems, production equipment, STE/SIE, and tooling), including cybersecurity controls and physical/digital access requirements
•  LRIP facility designs, including physical and cyber security protections
•  System Security Plan 
•  Special handling procedures
•  Cybersecurity training program and records
•  Computer Security Incident Response Capability Plan
Questions (MRL Criteria in the form of a question):
1.  Have OT Cybersecurity incidents been identified and assessed?
2.  Have OT cyber incidents throughout the supply chain been identified and assessed?
3.  Has the workforce been trained as appropriate in up-to-date cybersecurity procedures for a pilot line environment?
4.  Are planning and documentation for LRIP facilities and equipment OT systems including cybersecurity and physical/ digital controls and access requirements complete?
5.  Have OT Cybersecurity procedures and controls been validated on a pilot line?
Additional Considerations:  
Producibility
•  Some cybersecurity improvements can affect the manufacturing process or timing and may impact the producibility or quality of a product.   These cybersecurity measures (i.e. security software) need to be understood through testing in a relevant environment. 
Supply Chain Management
•  When possible, the supply chains of the potential industrial base should also be assessed for vulnerabilities to disruption, influence, or direct malicious insertion of cyber modifications.  This may require direct participation with the potential solution provider (solution providers may be commercial industry, DoD contractors, or DoD organic industrial base) to fully understand the risks.
•  High-level supply chain risks of many companies or products can be identified with open source information.  Additional detailed risk information can be collected during Requests for Information (RFIs), supply chain risk illumination, or supply chain due diligence vetting processes.
Special Handling
•  Special handling of materials or storage environment should also consider cybersecurity
•  MRL material planning should include a securing materials element for purchasing, accepting, storage and movement.
•  Special handling procedures should include considerations for physical security of the facility, manufacturing floor, and manufacturing systems.  For example, when test/measurement equipment is pulled offline and sent to a metrology facility, or to an external contractor for annual calibration, the digital information stored within should be considered.  If the test equipment was used for producing classified products, its internal memory, flash storage or internal hard drive should be sanitized following federal procedures that are tailored to the limitations of the test equipment. 
•  Additional handling procedures for manufacturing materials may also include a cyber-enabled solution (i.e. proximity badge readers) that logs all personnel accessing special materials.  This can aid in safety of personnel by ensuring that only authorized individuals have access to the material storage areas as well as traceability.  The cyber-enabled solution may also aid in a lock-out-tag-out control of a hazardous situation, but if not carefully planned could hinder emergency management.
Manufacturing Workforce
•  Are manufacturing/production associated personnel aware of OT Cybersecurity protection concepts or risks that could lead to manufacturing security issues? 
Tooling/STE/SIE
•  In some cases, a joint investment with the potential solution providers to make cybersecurity improvements in preferred manufacturing equipment may be needed.  In today’s cybersecurity risk environment, the solution provider will also likely see an added commercial market benefit to the improvements across product lines.
•  Strong accountability of production staff for equipment or production tools.
•  Regular cybersecurity and integrity checks of production software or firmware.
•  Consider cyber risks for embedded systems within manufacturing equipment (i.e. individual processor and network interfaces for each embedded component of a piece of equipment).  
•  Are periodic reviews or audits of testers of other support equipment conducted?
•  Are potential cyber impacts addressed during equipment testing for the unit under test?
•  Enable two-factor authentication if possible.  If not possible, prevent shared passwords and ensure that default passwords expire after first use, forcing it to be changed with an enforced policy for strong passwords.
•  Ensure continuous monitoring and asset identification procedures are in place and effective.  Rogue devices or evil twin/unauthorized Wi-Fi should be detected and alerted.
•  Manufacturing cybersecurity vulnerabilities may impact produced technology by disrupting the production flow, reducing the quality, or may introduce malicious flaws in the product. One example includes an intentional cyber modification of the calibration factors, such as programmed tolerances, to create the malicious effect. Consider whether a vulnerability should be fixed in the design, accepted due to low risk or impact, or tested to understand impact. Surveillance of the problem/vulnerability should be considered by the organization’s cybersecurity team—cybersecurity tools that scan for threats to known vulnerabilities, or for unexpected changes indicating there may have been a penetration—or for an actual penetration should be agreed to by the Prime Contractor to ensure the tools do not cause damage to the manufacturing equipment. 
•  Consider “sun-setting” OT technology within an ongoing program when there is an operational impact due to issues such as:
•  Inability to upgrade or patch systems (end of life operating systems, applications).
•  Well known vulnerabilities that have not been patched.
•  A lifetime buy of spares may need to be considered in some circumstances.
Facilities
•  Does the site security planning include Operational Technology? 
•  Do security plans include integration of IT security with computer-based OT equipment? 
•  Facilities: each technical review for manufacturing readiness should include a security review of the site and associated facilities.
•  For Government owned and operated manufacturing facilities, and facilities that are operated on behalf of the Government, the MRL assessment team should verify  independent penetration testing performed for the facility, and all aspects associated with manufacturing to assess the ability to protect, detect, react, and recover to cyber events.  The testing should be performed at a pre-determined (threat or risk informed) recurring frequency, possibly unannounced, and should include physical penetration testing.
•  For non-Government owned or operated on behalf of the Government, independent cybersecurity testing is highly recommended as it raises awareness of opportunities to better secure the manufacturing facility and protect its quality system.
Manufacturing Planning &amp; Scheduling
• Digital integrity of production files (CAD, STP, Gerber, etc.) should be considered.  Altered files can lead to incorrect parts and components. 
•  Monitor the operational technology interfaces to the business units and the implications of a cybersecurity incident occurrence. 
Lessons Learned: 
N/A
</t>
  </si>
  <si>
    <t>OT Cybersecurity incidents are identified and assessed. OT cyber incidents throughout the supply chain are identified and assessed. Workforce trained as appropriate in up-to-date cybersecurity procedures for production. Planning and documentation for FRP facilities and equipment OT systems including cybersecurity and physical/digital controls and access requirements complete. OT Cybersecurity improvement efforts initiated for FRP. OT Cybersecurity procedures implemented in LRIP and support FRP.</t>
  </si>
  <si>
    <t xml:space="preserve">Purpose:  
To ensure Operational Technology cybersecurity measures are in place in LRP and support FRP, including in-house and throughout the supply chain.  
Sources of Information:  
•  NIST SP 800-37, “Risk Management Framework for Information Systems and Organizations”
•  Defense Federal Acquisition Regulation Supplement (DFARS) Clause 252.204-7012, “Safeguarding Covered Defense Information and Cyber Incident Reporting”
•  DOD Instruction 5200.48, “Controlled Unclassified Information (CUI)”
Examples of ‘Objective Evidence’:
•  Assessments of OT cyber incidents, including those throughout the supply chain - ref DFARS 252.204-7012
•  Design of OT systems for rate production, including cybersecurity controls and physical/digital access requirement
•  FRP facilities designs, including physical and cyber security protections
•  System Security Plan 
•  Special handling procedures
•  Cybersecurity training program and records
•  Computer Security Incident Response Capability Plan
Questions (MRL Criteria in the form of a question):
1.  Have OT Cybersecurity incidents been identified and assessed?
2.  Have OT cyber incidents throughout the supply chain been identified and assessed?
3.  Has the workforce been trained as appropriate in up-to-date cybersecurity procedures for production? 
4.  Are planning and documentation for FRP facilities and equipment OT systems including cybersecurity and physical/digital controls and access requirements complete?
5.  Have OT Cybersecurity improvement efforts been initiated for FRP?
6.  Have OT Cybersecurity procedures been implemented in LRIP and do they support FRP?
Additional Considerations:  
Supply Chain Management
•  When possible, the supply chains of the potential industrial base should also be assessed for vulnerabilities to disruption, influence, or direct malicious insertion of cyber modifications.  This may require direct participation with the potential solution provider (solution providers may be commercial industry, DoD contractors, or DoD organic industrial base) to fully understand the risks.
•  High-level supply chain risks of many companies or products can be identified with open source information.  Additional detailed risk information can be collected during Requests for Information (RFIs), supply chain risk illumination, or supply chain due diligence vetting processes.
Special Handling
•  Special handling of materials or storage environment should also consider cybersecurity
•  MRL material planning should include a securing materials element for purchasing, accepting, storage and movement.
•  Special handling procedures should include considerations for physical security of the facility, manufacturing floor, and manufacturing systems.  For example, when test/measurement equipment is pulled offline and sent to a metrology facility, or to an external contractor for annual calibration, the digital information stored within should be considered.  If the test equipment was used for producing classified products, its internal memory, flash storage or internal hard drive should be sanitized following federal procedures that are tailored to the limitations of the test equipment. 
•  Additional handling procedures for manufacturing materials may also include a cyber-enabled solution (i.e. proximity badge readers) that logs all personnel accessing special materials.  This can aid in safety of personnel by ensuring that only authorized individuals have access to the material storage areas as well as traceability.  The cyber-enabled solution may also aid in a lock-out-tag-out control of a hazardous situation, but if not carefully planned could hinder emergency management.
Manufacturing Workforce
•  Are manufacturing/production associated personnel aware of OT Cybersecurity protection concepts or risks that could lead to manufacturing security issues? 
Tooling/STE/SIE
•  In some cases, a joint investment with the potential solution providers to make cybersecurity improvements in preferred manufacturing equipment may be needed.  In today’s cybersecurity risk environment, the solution provider will also likely see an added commercial market benefit to the improvements across product lines.
•  Strong accountability of production staff for equipment or production tools.
•  Regular cybersecurity and integrity checks of production software or firmware.
•  Consider cyber risks for embedded systems within manufacturing equipment (i.e. individual processor and network interfaces for each embedded component of a piece of equipment).  
•  Are periodic reviews or audits of testers of other support equipment conducted?
•  Are potential cyber impacts addressed during equipment testing for the unit under test?
•  Enable two-factor authentication if possible.  If not possible, prevent shared passwords and ensure that default passwords expire after first use, forcing it to be changed with an enforced policy for strong passwords.
•  Ensure continuous monitoring and asset identification procedures are in place and effective.  Rogue devices or evil twin/unauthorized Wi-Fi should be detected and alerted.
•  Manufacturing cybersecurity vulnerabilities may impact produced technology by disrupting the production flow, reducing the quality, or may introduce malicious flaws in the product. One example includes an intentional cyber modification of the calibration factors, such as programmed tolerances, to create the malicious effect. Consider whether a vulnerability should be fixed in the design, accepted due to low risk or impact, or tested to understand impact. Surveillance of the problem/vulnerability should be considered by the organization’s cybersecurity team—cybersecurity tools that scan for threats to known vulnerabilities, or for unexpected changes indicating there may have been a penetration—or for an actual penetration should be agreed to by the Prime Contractor to ensure the tools do not cause damage to the manufacturing equipment. 
•  Consider “sun-setting” OT technology within an ongoing program when there is an operational impact due to issues such as:
•  Inability to upgrade or patch systems (end of life operating systems, applications).
•  Well known vulnerabilities that have not been patched.
•  A lifetime buy of spares may need to be considered in some circumstances.
Facilities
•  Does the site security planning include Operational Technology? 
•  Do security plans include integration of IT security with computer-based OT equipment? 
•  Facilities: each technical review for manufacturing readiness should include a security review of the site and associated facilities.
•  For Government owned and operated manufacturing facilities, and facilities that are operated on behalf of the Government, the MRL assessment team should verify  independent penetration testing performed for the facility, and all aspects associated with manufacturing to assess the ability to protect, detect, react, and recover to cyber events.  The testing should be performed at a pre-determined (threat or risk informed) recurring frequency, possibly unannounced, and should include physical penetration testing.
•  For non-Government owned or operated on behalf of the Government, independent cybersecurity testing is highly recommended as it raises awareness of opportunities to better secure the manufacturing facility and protect its quality system.
Manufacturing Planning &amp; Scheduling
•  Digital integrity of production files (CAD, STP, Gerber, etc.) should be considered.  Altered files can lead to incorrect parts and components. 
•  Monitor the operational technology interfaces to the business units and the implications of a cybersecurity incident occurrence. 
Lessons Learned: 
N/A
</t>
  </si>
  <si>
    <t xml:space="preserve">OT Cybersecurity procedures reviewed and updated. OT Cybersecurity capabilities and solutions tested to support modifications, upgrades, surge and other potential manufacturing requirements. Minimal cybersecurity incident occurrence. Prompt incident identification and corrective actions minimizing impacts. Workforce trained as appropriate in up-to-date cybersecurity procedures for production. OT Cybersecurity continuous improvement efforts ongoing. </t>
  </si>
  <si>
    <t xml:space="preserve">Purpose:  
To ensure Operational Technology cybersecurity measures are in place in FRP and support anticipated modifications, upgrades, surge, or other potential manufacturing requirements, both in-house and throughout the supply chain.  
Sources of Information:  
•  NIST SP 800-37, “Risk Management Framework for Information Systems and Organizations”
•  Defense Federal Acquisition Regulation Supplement (DFARS) Clause 252.204-7012, “Safeguarding Covered Defense Information and Cyber Incident Reporting”
•  DOD Instruction 5200.48, “Controlled Unclassified Information (CUI)”
Examples of ‘Objective Evidence’:
•  System Security Plan 
•  Assessments of cyber security incidents - ref DFARS 252-204-7012
•  Special handling procedures
•  Cybersecurity training program and records
•  Computer Security Incident Response Capability Plan
Questions (MRL Criteria in the form of a question):
1.  Have OT Cybersecurity procedures been reviewed and updated? 
2.  Have OT Cybersecurity capabilities and solutions been tested to support modifications, upgrades, surge and other potential manufacturing requirements? 
3.  Is the occurance of cybersecurity incidents minimal, with prompt identification and corective actions, minimizing impacts??
4.  Has the workforce been trained as appropriate in up-to-date cybersecurity procedures for production? 
5.  Are OT Cybersecurity continuous improvement efforts ongoing?
Additional Considerations:  
Supply Chain Management
•  When possible, the supply chains of the potential industrial base should also be assessed for vulnerabilities to disruption, influence, or direct malicious insertion of cyber modifications.  This may require direct participation with the potential solution provider (solution providers may be commercial industry, DoD contractors, or DoD organic industrial base) to fully understand the risks.
•  High-level supply chain risks of many companies or products can be identified with open source information.  Additional detailed risk information can be collected during Requests for Information (RFIs), supply chain risk illumination, or supply chain due diligence vetting processes.
Special Handling
•  Special handling of materials or storage environment should also consider cybersecurity
•  MRL material planning should include a securing materials element for purchasing, accepting, storage and movement.
•  Special handling procedures should include considerations for physical security of the facility, manufacturing floor, and manufacturing systems.  For example, when test/measurement equipment is pulled offline and sent to a metrology facility, or to an external contractor for annual calibration, the digital information stored within should be considered.  If the test equipment was used for producing classified products, its internal memory, flash storage or internal hard drive should be sanitized following federal procedures that are tailored to the limitations of the test equipment. 
•  Additional handling procedures for manufacturing materials may also include a cyber-enabled solution (i.e. proximity badge readers) that logs all personnel accessing special materials.  This can aid in safety of personnel by ensuring that only authorized individuals have access to the material storage areas as well as traceability.  The cyber-enabled solution may also aid in a lock-out-tag-out control of a hazardous situation, but if not carefully planned could hinder emergency management.
Manufacturing Workforce
•  Are manufacturing/production associated personnel aware of OT Cybersecurity protection concepts or risks that could lead to manufacturing security issues? 
Tooling/STE/SIE
•  In some cases, a joint investment with the potential solution providers to make cybersecurity improvements in preferred manufacturing equipment may be needed.  In today’s cybersecurity risk environment, the solution provider will also likely see an added commercial market benefit to the improvements across product lines.
•  Strong accountability of production staff for equipment or production tools.
•  Regular cybersecurity and integrity checks of production software or firmware.
•  Consider cyber risks for embedded systems within manufacturing equipment (i.e. individual processor and network interfaces for each embedded component of a piece of equipment).  
•  Are periodic reviews or audits of testers of other support equipment conducted?
•  Are potential cyber impacts addressed during equipment testing for the unit under test?
•  Enable two-factor authentication if possible.  If not possible, prevent shared passwords and ensure that default passwords expire after first use, forcing it to be changed with an enforced policy for strong passwords.
•  Ensure continuous monitoring and asset identification procedures are in place and effective.  Rogue devices or evil twin/unauthorized Wi-Fi should be detected and alerted.
•  Manufacturing cybersecurity vulnerabilities may impact produced technology by disrupting the production flow, reducing the quality, or may introduce malicious flaws in the product. One example includes an intentional cyber modification of the calibration factors, such as programmed tolerances, to create the malicious effect. Consider whether a vulnerability should be fixed in the design, accepted due to low risk or impact, or tested to understand impact. Surveillance of the problem/vulnerability should be considered by the organization’s cybersecurity team—cybersecurity tools that scan for threats to known vulnerabilities, or for unexpected changes indicating there may have been a penetration—or for an actual penetration should be agreed to by the Prime Contractor to ensure the tools do not cause damage to the manufacturing equipment. 
•  Consider “sun-setting” OT technology within an ongoing program when there is an operational impact due to issues such as:
•  Inability to upgrade or patch systems (end of life operating systems, applications).
•  Well known vulnerabilities that have not been patched.
•  A lifetime buy of spares may need to be considered in some circumstances.
Facilities
•  Does the site security planning include Operational Technology? 
•  Do security plans include integration of IT security with computer-based OT equipment? 
•  Facilities: each technical review for manufacturing readiness should include a security review of the site and associated facilities.
•  For Government owned and operated manufacturing facilities, and facilities that are operated on behalf of the Government, the MRL assessment team should verify  independent penetration testing performed for the facility, and all aspects associated with manufacturing to assess the ability to protect, detect, react, and recover to cyber events.  The testing should be performed at a pre-determined (threat or risk informed) recurring frequency, possibly unannounced, and should include physical penetration testing.
•  For non-Government owned or operated on behalf of the Government, independent cybersecurity testing is highly recommended as it raises awareness of opportunities to better secure the manufacturing facility and protect its quality system.
Manufacturing Planning &amp; Scheduling
•  Digital integrity of production files (CAD, STP, Gerber, etc.) should be considered.  Altered files can lead to incorrect parts and components. 
•  Monitor the operational technology interfaces to the business units and the implications of a cybersecurity incident occurrence. 
Lessons Learned: 
N/A
</t>
  </si>
  <si>
    <t>Have the OT Cybersecurity approach and requirements for the preferred materiel solution been considered as part of AoA?</t>
  </si>
  <si>
    <t>Have OT Cybersecurity risks in the anticipated industrial base been assessed?</t>
  </si>
  <si>
    <t>Have potential supply chain OT Cybersecurity and vulnerability risks been identified?</t>
  </si>
  <si>
    <t>Have required OT Cybersecurity development efforts been initiated?</t>
  </si>
  <si>
    <t>Have supply chain OT Cybersecurity and vulnerability risks been assessed and risk management plans developed?</t>
  </si>
  <si>
    <t>Have supply chain OT Cybersecurity and vulnerability risk mitigation plans been initiated?</t>
  </si>
  <si>
    <t>Are OT Cybersecurity Incident Reporting procedures in-place, including reporting, tracking, and corrective actions?</t>
  </si>
  <si>
    <t>Have OT Cybersecurity incidents been identified and assessed?</t>
  </si>
  <si>
    <t>Have OT Cybersecurity procedures and controls been validated on a pilot line?</t>
  </si>
  <si>
    <t>Have OT Cybersecurity improvement efforts been initiated for FRP?</t>
  </si>
  <si>
    <t>Have OT Cybersecurity procedures been implemented in LRIP and do they support FRP?</t>
  </si>
  <si>
    <t>Are OT Cybersecurity continuous improvement efforts ongoing?</t>
  </si>
  <si>
    <t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t>
  </si>
  <si>
    <t xml:space="preserve">Purpose: 
To begin to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Potential industrial base capability gaps identified and documented
Questions (MRL Criteria in the form of a question): 
1. Have potential industrial base capability gaps been identified?
Additional Considerations:  
• None
Lessons Learned: 
• None
</t>
  </si>
  <si>
    <t>Purpose: 
To begin to research manufacturing concepts to use in exploring potential solutions. The focus is to address manufacturing shortfalls and opportunities needed to achieve program objectives.  Basic research (i.e., funded by budget activity) begins in the form of studies.  This information will allow the development of needed manufacturing technology in the S&amp;T phase. 
Sources of Information:  
The S&amp;T community, both S&amp;T sponsors like the Service S&amp;T organizations and research organizations in academia and industry provide a plethora of collaborative technical information in the state of the art in manufacturing technology development.  Basic research (i.e., funded by budget activity) begins in the form of studies. 
Examples of ‘Objective Evidence’:
•  Global trends in manufacturing Science and Technology been identified (i.e., concepts, capabilities) identified and documented 
Questions (MRL Criteria in the form of a question):
1. Have global trends in manufacturing Science and Technology been identified (i.e., concepts, capabilities)?
Additional Considerations:  
• None
Lessons Learned: 
• None</t>
  </si>
  <si>
    <t>Potential manufacturing Science and Technology gaps identified.</t>
  </si>
  <si>
    <t>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Potential manufacturing Science and Technology gaps identified and documented 
Questions (MRL Criteria in the form of a question):
1. Have potential manufacturing Science and Technology gaps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t>
  </si>
  <si>
    <t xml:space="preserve">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Hypotheses are developed for cause-effect relationships between technology variables and producibility.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Using hypotheses to obtain knowledge that would be useful to leadership to make informed decisions on which future cause-effect relationships between technology variables and producibility they may wish to address when proceeding into the Applied Research phase or to define manufacturing areas where more basic research needs to be done. The purpose of these assessments is to help transition capability to the warfighter more effectively and efficiently.    
Examples of ‘Objective Evidence’:
•  Hypotheses for cause-effect relationships between technology variables and producibility developed and documented
Questions (MRL Criteria in the form of a question):
1. Have hypotheses been developed for cause-effect relationships between technology variables and producibility? 
Additional Considerations:  
• None
Lessons Learned: 
• None
</t>
  </si>
  <si>
    <t xml:space="preserve">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Studies to test hypotheses regarding cause-effect relationships between technology variables and producibility performed and documented
•  Elements which have a potential impact to producibility (i.e., materials, processes, capabilities, limitations) identified and documented
Questions (MRL Criteria in the form of a question):
1. Have studies been performed to test hypotheses regarding cause-effect relationships between technology variables and producibility? 
2. Have elements been identified which have a potential impact to producibility (i.e., materials, processes, capabilities, limitations)? 
Additional Considerations:  
• None
Lessons Learned: 
• None
</t>
  </si>
  <si>
    <t>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Evaluation of relevant materials/processes for manufacturability using experiments/models is documented
Questions (MRL Criteria in the form of a question):
1. Have relevant materials/processes been evaluated for manufacturability using experiments/models?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  Have new manufacturing concepts and potential solutions been identified that could impact manufacturability/producibility/DMSMS resilience?
Lessons Learned: 
• Historically manufacturability and producibility issues are ignored early in S&amp;T. 
• Producibility and manufacturability risks need to be presented to the acquisition community before transitioning to understand the overall risk of achieving program objectives.</t>
  </si>
  <si>
    <t>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Current capability deficiencies and gaps identified and documented
Questions (MRL Criteria in the form of a question):
1. Have current capability deficiencies and gaps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t>
  </si>
  <si>
    <t>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Analyses to evaluate the feasibility of potential solutions to address capability gaps performed and documented
Questions (MRL Criteria in the form of a question):
1. Have analyses been performed to evaluate the feasibility of potential solutions to address capability gaps?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t>
  </si>
  <si>
    <t>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Cost elements identified and documented
Questions (MRL Criteria in the form of a question):
1. Have cost elements been identified?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t>
  </si>
  <si>
    <t>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Examples of ‘Objective Evidence’:
•  Manufacturing cost estimates for system concepts documented
•  Initial cost models include high-level process steps and materials 
Questions (MRL Criteria in the form of a question):
1.  Has manufacturing cost estimates for system concepts been developed?    
2.  Have initial cost models been developed which include high-level process steps and materials?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items with high risk for DMSMS issues, and new items with unknown costs
•  Cost drivers might be material, labor, overhead, NRE, tooling, yields, rework, repair, technology refreshment in the future,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t>
  </si>
  <si>
    <t>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Initial manufacturing and quality costs identified and documented
Questions (MRL Criteria in the form of a question):
1. Have initial manufacturing and quality costs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t>
  </si>
  <si>
    <t>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Potential manufacturing and quality cost drivers and system affordability gaps identified and documented
Questions (MRL Criteria in the form of a question):
1. Have potential manufacturing and quality cost drivers and system affordability gaps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t>
  </si>
  <si>
    <t>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A potential manufacturing investment strategy developed and documented
Questions (MRL Criteria in the form of a question):
1. Has a potential manufacturing investment strategy been developed?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t>
  </si>
  <si>
    <t>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Program/projects have documented reasonable budget estimates for reaching MRL 3 through experiment 
•  Manufacturing investment budget ROM estimates to support industrial base and manufacturing capability gap closure strategies identified and documented
Questions (MRL Criteria in the form of a question):
1. Do the program/projects have reasonable budget estimates for reaching MRL 3 through experiment?
2. Have manufacturing investment budget ROM estimates been identified to support industrial base and manufacturing capability gap closure strategies?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t>
  </si>
  <si>
    <t>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Modeling and simulation approaches and tools applied.
Examples of ‘Objective Evidence’:
•  Modeling and simulation approaches/tools identified to support manufacturing and quality activities and documented 
Questions (MRL Criteria in the form of a question):
1. Have modeling and simulation approaches/tools been identified to support manufacturing and quality activities?
Additional Considerations:  
• None
Lessons Learned: 
• None</t>
  </si>
  <si>
    <t>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Modeling and simulation in development initiated and documented 
Questions (MRL Criteria in the form of a question):
1. Have modeling and simulation in development been initiated?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t>
  </si>
  <si>
    <t>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Examples of ‘Objective Evidence’:
•  Hypotheses regarding cause-effect relationships between process variables and process stability and repeatability developed and documented
Questions (MRL Criteria in the form of a question):
1. Have hypotheses been developed regarding cause-effect relationships between process variables and process stability and repeatability? 
Additional Considerations:  
• None
Lessons Learned: 
• None</t>
  </si>
  <si>
    <t>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Studies to test hypotheses regarding cause-effect relationships performed and documented
•  Initial process approaches identified and documented
Questions (MRL Criteria in the form of a question):
1. Have studies been performed to test hypotheses regarding cause-effect relationships? 
2. Have initial process approaches been identified?
Additional Considerations:  
• None
Lessons Learned: 
• Historically we have not adequately addressed manufacturing risk in this phase of technology development, so we must address manufacturing risk/issues earlier in the R&amp;D process.</t>
  </si>
  <si>
    <t>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t>
  </si>
  <si>
    <t>Has ESH compliance been demonstrated in a production-representative environment?</t>
  </si>
  <si>
    <t>Are yields and rates from the production-representative environment being evaluated against pilot line targets?</t>
  </si>
  <si>
    <t>Has the pilot line workforce been trained in the production-representative environment?</t>
  </si>
  <si>
    <t>Industrial base analysis including capacity and capability for MS B completed. Industrial capability in place to support manufacturing of development articles. Plans to avoid or justification of sole/single/FOCI sources complete.</t>
  </si>
  <si>
    <t>Industrial base capacity and capability to support production analyzed. Justified sole/single/FOCI sources assessed and monitored.</t>
  </si>
  <si>
    <t>Global trends in manufacturing Science and Technology identified (e.g., concepts, capabilities).</t>
  </si>
  <si>
    <t>Studies performed to test hypotheses regarding cause-effect relationships between technology variables and producibility. Elements identified which have a potential impact to producibility (e.g., materials, processes, capabilities, limitations).</t>
  </si>
  <si>
    <t>Systems Functional Review</t>
  </si>
  <si>
    <t xml:space="preserve">Design producibility improvements demonstrated in FRP.  Process producibility improvements ongoing.  All modifications, upgrades, DMSMS and other changes assessed for producibility.  </t>
  </si>
  <si>
    <t>MOE</t>
  </si>
  <si>
    <t>Measures of Effectiveness</t>
  </si>
  <si>
    <t>Lower-level performance requirements sufficient to proceed to preliminary design.  All enabling/critical technologies and components identified and the product lifecycle considered.  Evaluation of the design for KCs initiated. Product data required for prototype component manufacturing released.</t>
  </si>
  <si>
    <t>Work-in-Progress</t>
  </si>
  <si>
    <t>Cost model updated with the results of systems/subsystems produced in a production-representative environment, production plant layout and design, and  obsolescence solutions.</t>
  </si>
  <si>
    <t>Purpose:  
To use demonstrated results from a production-representative environment to verify production cost requirements can be met. The program must verify the realism in the cost model by using demonstrated data from a production-representative environment to ensure confidence in affordability projections.
Sources of Information:  
This data should come from cost estimating, design and manufacturing departments.
Examples of ‘Objective Evidence’:
•  Cost model information
•  Demonstrated data from a production-representative environment
Questions (MRL Criteria in the form of a question):
1.  Is the cost model up-to-date?
2.  In addition to prior elements, does the updated cost model include the results of systems and/or subsystems produced in a production-representative environment, the production plant layout and design, and solutions to obsolescence risks and issues?
Additional Considerations:  
•  Is actual cost data from prototype builds being used?
•  Include updated costs from suppliers including yield/rework which might affect cost of LRIP and FRP manufacturing.
Lessons Learned: 
•  The cost model needs to be populated with actual production-representative build data, and it must continually be updated to reflect changes.</t>
  </si>
  <si>
    <t>ROM</t>
  </si>
  <si>
    <t>Rogh Order of Magnitude</t>
  </si>
  <si>
    <t>D - Materials (Raw Materials, Components, Subassemblies and Subsystems)</t>
  </si>
  <si>
    <t>Lifecycle supply chain requirements updated. Critical suppliers list updated. Supply chain plans in place (e.g. teaming agreements, etc.) supporting an EMD contract award. Plans to minimize sole/single/FOCI suppliers and obsolescence issues complete. Need for sole/single/FOCI suppliers justified. Potential alternative suppliers identified..</t>
  </si>
  <si>
    <t xml:space="preserve">Effective supply chain management processes defined, documented, and in place. Plan developed for predictive indicators. Assessment of critical first tier supply chain completed (e.g., capability, capacity). Sole/single/FOCI suppliers, supplier stability, and obsolescence issues are assessed/monitored. Potential alternate suppliers developed if necessary. </t>
  </si>
  <si>
    <t>Assessment of critical second and lower tier supply chain completed. Suppliers available, including multi-sourcing where cost-effective or necessary to mitigate risk. Robust requirements flow down processes in-place and verified. Supplier compliance with program requirements and changes validated. Plan for predictive indicators for use in production updated. Supply chain adequate to support LRIP.</t>
  </si>
  <si>
    <t>Long-term agreements in place where practical. Prime's supplier management metrics (including thresholds and goals) in place and used to manage risks. Predictive indicators to manage suppliers in place. Supply chain is stable and adequate to support FRP.</t>
  </si>
  <si>
    <t>Supply chain proven, monitored with predictive indicators in-place, and supports FRP requirements.</t>
  </si>
  <si>
    <t>HAZMAT</t>
  </si>
  <si>
    <t>Hazardous Materials</t>
  </si>
  <si>
    <t xml:space="preserve">Hazardous materials identified and safety procedures in-place. </t>
  </si>
  <si>
    <t>ESH requirements addressed and documented. Special handling procedures (including security, physical and cyber) demonstrated in production-relevant environment. Plans to address special handling requirement gaps, risks, and issues complete. Manufacturing assessed for material storage and waste handling risks.</t>
  </si>
  <si>
    <t xml:space="preserve">ESH compliance demonstrated in FRP. Special handling (including security, physical and cyber) and hazardous material storage and disposal procedures effectively implemented in FRP.   </t>
  </si>
  <si>
    <t>Initial modeling &amp; simulations developed at the subsystem or system level, and used to determine system constraints.</t>
  </si>
  <si>
    <t xml:space="preserve">Maturity of critical processes for preferred materiel solution assessed.  Process capability requirements and improvement plans developed and documented in the SEP. </t>
  </si>
  <si>
    <t>Manufacturing processes for LRIP verified on a pilot line.  Process capability data from pilot line meets target. Process capability requirements for LRIP and FRP refined based upon pilot line data.</t>
  </si>
  <si>
    <t xml:space="preserve">Quality targets established. QMS elements (e.g., control of nonconforming material, corrective action) meet requirements of appropriate industry standards. Program-specific Quality Program Plan developed.   </t>
  </si>
  <si>
    <t>Quality targets verified on LRIP line. Continuous quality improvement on-going.  Management review of quality measures conducted on regular basis and appropriate actions taken.</t>
  </si>
  <si>
    <t xml:space="preserve">Quality data from the production-representative environment collected and analyzed and results used to shape quality improvement plans. Initial control plans developed for management of KCs. Test and Inspection plans being developed for EMD units. </t>
  </si>
  <si>
    <t>KCs managed. Measurement procedures and controls in place (e.g. SPC, FRACAS, audits, customer satisfaction). Pilot line data shows KCs attainable for all KCs. Test and Inspection plans complete and validated for production units.</t>
  </si>
  <si>
    <t>Supplier quality and QMS state of the art surveyed.</t>
  </si>
  <si>
    <t>Initial supplier quality and QMS evaluated.</t>
  </si>
  <si>
    <t>Supplier quality and QMS requirements for system concepts identified.</t>
  </si>
  <si>
    <t xml:space="preserve">Potential supplier quality risks and issues identified for the preferred materiel solution, including subtier suppliers. Supplier QMS requirements defined, and documented in the AS. </t>
  </si>
  <si>
    <t xml:space="preserve">Supply chain quality improvement initiatives identified addressing supplier QMS shortfalls, including sub-tier supplier quality management. </t>
  </si>
  <si>
    <t xml:space="preserve">Key supplier QMS meet appropriate industry standards. Supplier quality data from production-representative units collected and analyzed. Strategy for audits of critical supplier processes outlined. </t>
  </si>
  <si>
    <t>FAI</t>
  </si>
  <si>
    <t>First Article Inspection</t>
  </si>
  <si>
    <t>Full-Rate Production</t>
  </si>
  <si>
    <t>Low-Rate Initial Production</t>
  </si>
  <si>
    <t>Supplier program-specific QMSs adequate. Supplier products qualification testing and FAI completed. Acceptance testing of supplier products adequate to begin LRIP. Plan for subcontractor process audits in place and implemented by prime contractor.</t>
  </si>
  <si>
    <t>Supplier quality data reflects adequate management of KCs and control of critical manufacturing processes, including quality management down to sub-tier suppliers.  Results achieve high statistical-level (e.g., 6-sigma) on all critical dimensions.  Subcontractor quality audits performed as necessary to ensure subcontractor specification compliance.</t>
  </si>
  <si>
    <t>Workforce skill set requirements for systems concepts identified. Workforce skill set capability gaps identified</t>
  </si>
  <si>
    <t>State of the art tooling and STE/SIE equipment surveyed.</t>
  </si>
  <si>
    <t>Potential tooling and STE/SIErequirements identified.</t>
  </si>
  <si>
    <t>Tooling and STE/SIE requirements for system concepts identified. Special tooling and STE/SIE gaps identified.</t>
  </si>
  <si>
    <t>Tooling and STE/SIE requirements for the preferred materiel solution considered as part of AoA.</t>
  </si>
  <si>
    <t xml:space="preserve">Manufacturing management requirements for systems concepts identified. </t>
  </si>
  <si>
    <t xml:space="preserve">Manufacturing strategy refined based upon preferred concept.  Prototype schedule risk mitigation efforts initiated.  </t>
  </si>
  <si>
    <t>Initial manufacturing approach developed.  All system design related manufacturing events included in IMP/IMS.  Manufacturing risk and issue mitigation approach for pilot line and/or technology insertion programs defined.</t>
  </si>
  <si>
    <t xml:space="preserve">Make/buy decisions and BOM complete for pilot line build.  Material planning systems in place for pilot line build. </t>
  </si>
  <si>
    <t>Make/buy decisions and BOM complete to support LRIP.  Material planning systems proven on pilot line for LRIP build.</t>
  </si>
  <si>
    <t>Make/buy decisions and BOM complete to support FRP.  Material planning systems proven in LRIP and sufficient for FRP.</t>
  </si>
  <si>
    <t>OT Cybersecurity requirements for systems concepts identified. OT Cybersecurity vulnerabilities of potential manufacturing facilities identified.</t>
  </si>
  <si>
    <t>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Examples of ‘Objective Evidence’:
•  Raw materials and components for special handling and potential regulatory requirements assessed and documented
Questions (MRL Criteria in the form of a question):
1. Have raw materials and components been assessed for special handling and potential regulatory requirements?
Additional Considerations:
• Is there a potential impact due to Environmental Safety and Occupational Health (ESH) related laws (Clean Air Act, Clean Water Act, Toxic Substances Control Act, National Environmental Policy Act, System Safety, Hazardous Materials Management, etc.)?
Lessons Learned:
• Special handling and ESH considerations will impact all programs as they move forward. 
• Multiple laws will impact the program.
• Multiple guides and instructions are available for program use as the program moves forward.</t>
  </si>
  <si>
    <t>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Examples of ‘Objective Evidence’:
•  Environmental, Safety, and Health (ESH) compliance risk identified
•  List of hazardous materials identified and alternatives evaluated 
•  Special handling procedures applied and documented in lab environment
•  Special handling concerns been assessed and documented
Questions (MRL Criteria in the form of a question):
1. Has ESH compliance risk been identified?
2. Has a list of hazardous materials been identified and alternatives evaluated?
3. Have special handling procedures been applied in the lab?
4. Have special handling concerns been assessed?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t>
  </si>
  <si>
    <t>Purpose: 
To begin to research manufacturing concepts to use in exploring potential solutions. The focus is to address manufacturing shortfalls and opportunities needed to achieve program objectives.  Basic Research (i.e., funded by budget activity) begins in the form of studies.  This information will give decision makers insight into the risk and requirements of manufacturing concepts and will allow them to explore potential solutions for concepts early in the S&amp;T phase. 
Sources of Information:  
The S&amp;T community, both S&amp;T sponsors like the Service S&amp;T organizations and research organizations in academia and industry provide a plethora of collaborative technical information in the state of the art in manufacturing Science and Technology.  Basic Research (i.e., funded by budget activity) begins in the form of studies. 
Examples of ‘Objective Evidence’:
•  Global trends in emerging industrial base capabilities identified and documented
Questions (MRL Criteria in the form of a question): 
1.  Have global trends in emerging industrial base capabilities been identified?
Additional Considerations:  
•  None
Lessons Learned: 
•  None</t>
  </si>
  <si>
    <t>Purpose:  
To identify possible sources for a variety of materials that may be used in the system and understand the state of the art with respect to processes.  Understanding the materials and processes state of the art provides a foundation of essential information for an Analysis of Alternatives (AoA) with respect to system design and capabilities.
Sources of Information:  
The majority of the information to an industrial base assessment at this early stage will come from the contractor’s design engineers and vendor/supply managers.  
Examples of ‘Objective Evidence’:
•  Industrial base capabilities for potential sources for system concepts documented
Questions (MRL Criteria in the form of a question): 
1. Have industrial base capabilities for potential sources been identified for system concepts?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 cycle.</t>
  </si>
  <si>
    <t>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
Examples of ‘Objective Evidence’:
•TRA Report is TRL of 6 or greater
Questions (MRL Criteria in the form of a question):
1. Is the Technology Readiness at TRL 6 or greater?</t>
  </si>
  <si>
    <t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Questions (MRL Criteria in the form of a question):
1. Is the Technology Readiness at TRL 7 or greater?
</t>
  </si>
  <si>
    <t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Questions (MRL Criteria in the form of a question):
1. Is the Technology Readiness at TRL 8 or greater?
</t>
  </si>
  <si>
    <t>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Questions (MRL Criteria in the form of a question):
1. Is the Technology Readiness at TRL 9?</t>
  </si>
  <si>
    <t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Questions (MRL Criteria in the form of a question):
1. Is the Technology Readiness at TRL 9?
</t>
  </si>
  <si>
    <t xml:space="preserve">Purpose:  
To narrow down possible sources for materials and processes applying to Critical Technologies (CTs), from the TRA, for preferred system design alternatives. Understanding the materials and processes availability of sources provides essential information on key processes and technology gaps that may exist when one does an Analysis of Alternatives (AoA) in the Material Solution Analysis (MSA) phase. The Alternative Systems Review (ASR)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suppliers/supply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Survey documentation for industrial base capabilities.
• Gaps, risks, and issues identified for key technologies, components, and/or key processes documented
•  Analysis of Alternatives (AoA)
Questions (MRL Criteria in the form of a question): 
1. Have industrial base capacities and capabilities been surveyed for preferred materiel solution, key technologies, components, and/or key processes? 
2.  Are industrial base considerations included in the AoA?
3.  Are industrial base capabilty risks and issues docuemented in the Acquisition Strategy?  
Additional Considerations:
• Are industrial base studies current and do you possess the most recent information regarding industrial capabilities that apply to CTs?
• Are any strategic/critical materials needed for CTs obtained only from sole/foreign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Capability Analyses need to be constantly updated.
• Fragility of the IB and criticality of critical components needs to be considered in the industrial base capabilities assessment.
</t>
  </si>
  <si>
    <t xml:space="preserve">Purpose:  
To perform a thorough assessment of sources for materials and processes applying to Critical Technologies (CTs), from the TRA, of the major system design alternatives. Understanding capability of the defense industrial base to support production of various alternative designs is crucial information for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Industrial base capabilities assessment
•  Documentation for sole/single/foreign sources with potential obsolescence issues
•  Planning documentation to minimize the risks associated with sole/single/foreign sources
•  Industrial base capabilities assessment with Program Memo
Questions (MRL Criteria in the form of a question): 
1. Has an industrial base analysis been initiated to identify potential manufacturing sources?
2. Have sole/single/Foreign Owned, Controlled, or Influenced source been identified?
3. Has planning been initiated to minimize risks from sole/single/Foreign Owned, Controlled, or Influenced sources?
Additional Considerations:
•  Are industrial base studies current and do you possess the most recent information regarding industrial capabilities that apply to CTs?
•  Are any strategic or critical materials needed for CTs obtained only from sole/single/Foreign Owned, Controlled, or Influenced source?
•  Is there likely to be a future requirement to surge production of this system?
•  What is the viability of any associated essential industrial/technological capabilities?
•  What is the potential viability of non-selected firms as enduring competitors for defense products?
•  What span of time between current and potential future contract awards should be considered that will make selection critical to supplier business decisions?
•  Are there other businesses of the same type or emerging capabilities that could serve as a replacement solution?
•  What decisions will impact a supplier's future viability (jeopardize future competitiveness or do not provide a sufficient business case to keep the capabilities/unit around for the future)?
•  What decisions will establish new industrial capabilities (develop new facilities, demonstrate and "productionize" new technologies, preserve health of the industrial base)?
•  What priority under the Defense Priorities and Allocations System (DPAS) is this program likely to have (e.g., DO, DX, etc.)?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Base Capability Analyses need to be constantly updated.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</si>
  <si>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Purpose:  
Assure a thorough assessment of sources for materials and processes that apply to Critical Technologies (CTs),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Industrial base capabilities assessment
•  Supplier management policy/procedure
•  Industrial base capabilities assessment with Program Memo
Questions (MRL Criteria in the form of a question): 
1.  Is the industrial base analysis that includes capacities and capabilities in support of the Milestone (MS) B decision complete?
2.  Is there industrial capability in place that can support the manufacturing of (technology) development articles?
3.  Are the plans to minimize sole/single/Foreign Owned, Controled, or Influenced industrial base sources complete?
4.  Has the justification of sole/single/Foreign Owned, Controlled, or Influenced industrial base sources been justified?
Additional Considerations: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 
•  What decisions will impact a supplier's future viability (jeopardize future competitiveness or do not provide a sufficient business case to keep the capabilities/unit around for the future)?
•  What is the certainty of future demand for key products given an economic turndown?
•  What decisions will establish new industrial capabilities (develop new facilities, demonstrate and "productionize" new technologies, preserve health of the industrial base)?
Lessons Learned: 
•  As designs change, industrial base capabilities assessments need to be constantly updated.
•  Failure to consider Industrial base capability as part of the PDR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t>
  </si>
  <si>
    <t>Industrial base analysis including capacity ...</t>
  </si>
  <si>
    <t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base capacity and capability to support production been analyzed?
2. Have all justified sole, single, and Foreign Owned, Controlled, or Influenced sources been assessed?
3. Is the stability of all sole, single, and Foreign Owned, Controlled, or Influenced sources being monitored?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</si>
  <si>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Purpose:  
To demonstrate that the industrial base capabilities required to support the program have been analyzed and assessed to be adequate to achieve LRIP objectives. Approaching the end of EMD, industrial base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Industrial base capabilities assessment for Milestone C completed
• Industrial capability in place to support LRIP
• All necessary sources available, including multi-sourcing where cost-effective or necessary, to mitigate risk 
• Supplier management policy/procedure
Questions (MRL Criteria in the form of a question): 
1. Is an the analysis of industrial base capacities and capabilities to support the Milestone C decision completed?
2. Does analysis show that industrial capabilities are in place to supportLRIP?
Additional Considerations:
• Does the industrial base capabilities assessment include an analysis of anticipated subcontractors, suppliers and vendors?
• Have all subcontractors/suppliers been identified? Are additional suppliers available for all critical items?
•  Have all Sole/Single/Foreign Owned, Controlled, and Influences sources  been identified and have alternative plans been made for parts available from foreign sources?  Are these sources being monitored for stability?
• Are industrial capabilities and capacity adequate to support Program needs?
• Have contingency program requirements been validated and documented?
• Have Long-Lead items been analyzed?
• Are plans in effect to mitigate potential program schedule impacts?
• Has multi-sourcing been employed where possible?
• Have delivery schedules been demonstrated to support the LRIP build?
• Have impacts of this acquisition program on the industrial base been analyzed?
• Does the industrial base capabilities assessment address industrial sector and individual enterprise trends?
• Does the industrial base capabilities assessment address environmental impacts?
• Does the industrial base capabilities assessment address potential program stretch-out and re-start challenges?
• Has the competition plan been updated?
• Have co-development/co-production opportunities been updated?
• Are there any proprietary processes that could impact government data rights?
Lessons Learned: 
• One of the important steps for achieving this requirement is to work with the contractor/ supplier to define the supply chain/industrial base for the program, with particular emphasis on critical/pacing suppliers and long-lead items.  
•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industrial base capabilities assessment is often the best way to identify potential risks (such as changes environmental laws impacting the product/process) before they become problems.
• Fragility of the IB and criticality of critical components need to be considered in the industrial base capabilities assessment.</t>
  </si>
  <si>
    <t xml:space="preserve">Purpose:  
To assess the progress of on-going manufacturing technology efforts and, using data generated in a production-relevant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  Manufacturing technology development plans
•  Documentation that Manufacturing technology development solutions have been demonstrated in a production-relevant environment
Questions (MRL Criteria in the form of a question):
1.  Are the manufacturing technology development efforts underway and continuing? 
2.  Have the required manufacturing technology development solutions been demonstrated in a production-relevant environment?
Additional Considerations:  
•  Are processes for fabrication of new or exotic materials clearly understood and available, or are they under development at this stage?
•  The government program manager, the contractor, and the service-specific ManTech organization need to have a dialogue on critical issues that drive affordability, especially if the process has applicability to multiple platforms.
Lessons Learned: 
•  To adequately manage risk one must understand the progress of manufacturing technology development as the program enters EMD.  </t>
  </si>
  <si>
    <t>Purpose:  
To ensure that adequate progress in our manufacturing technology efforts are being made by using demonstrated results from a production-representative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 Manufacturing technology development efforts track to planned activities
• Required manufacturing science and manufacturing technology development solutions have been demonstrated in a production-representative environment
Questions (MRL Criteria in the form of a question):
1. Have the required manufacturing technology development solutions been successfully demonstrated in a production-representative environment?
Additional Considerations:  
• Are processes for fabrication of new or exotic materials clearly understood and available, or are they under development at this stage?
• The government program manager, the contractor, and the service-specific ManTech organization need to have a dialogue on critical issues that drive affordability, especially if the process has applicability to multiple platforms.
Lessons Learned: 
• To adequately manage risk one must understand the progress of manufacturing technology development as the program progresses in EMD.</t>
  </si>
  <si>
    <t xml:space="preserve">Purpose:
To assess producibility data from building prototypes in a production-relevant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  Producibility assessments 
•  Trade studies
•  Manufacturing Plan
•  Producibility enhancement efforts
Questions (MRL Criteria in the form of a question):
1.  Have assessments and trade studies regarding performance vs. producibility for key technologies and/or components been completed?
2.  Have the results of the producibility assessments and trade studies been used to shape the Acquisition Strategy, the Systems Engineering Plan, the manufacturing and producibility plans, and planning for the Engineering and Manufacturing Development phase or for technology insertion programs?
3.  Have the preliminary design choices been assessed against the constraints of the manufacturing processes and the capability of the industrial base?
4.  Have efforts to enhance the producibility (i.e., DFM, DFA, etc.) been initiated? 
Additional Considerations: 
•  Are the tooling and methods used applicable ultimately in production?
•  Have the manufacturing processes been assessed for capability to test and verify in production and their influence on Operations and Support (O&amp;S)?
•  Have all relevant materials/processes been evaluated for manufacturability and producibility in a production-relevant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 
•  Have all designs been reviewed for DMSMS resilience?
Lessons Learned:
•  Historically manufacturability and producibility issues are ignored early in acquisition. 
•  Producibility and manufacturability risks of the alternatives need to be presented to the decision makers before moving into EMD.
•  This is the opportune time to make design changes without negatively impacting program cost and schedule.
</t>
  </si>
  <si>
    <t xml:space="preserve">Purpose:
Demonstrate process capability in a production-representative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FRP.
Sources of Information:
This data should come from design and manufacturing departments.
Examples of ‘Objective Evidence’:
•  Producibility assessments 
•  Trade studies
•  Producibility enhancement efforts
Questions (MRL Criteria in the form of a question):
1. Have detailed producibility trade studies using knowledge of key design characteristics and the related manufacturing process capability been completed?
2. Are producibility enhancement efforts (i.e. Design for Manufacturing, Design for Assembly, etc.) ongoing?
3. Have manufacturing processes been re-assessed as needed for capability to be tested and verified?
4. Have manufacturing processes been re-assessed as needed for potential influence on the Operations and Support phase?
Additional Considerations: 
•  Have the manufacturing processes been assessed for capability to test and verify in production and their influence on Operations and Support (O&amp;S)?
•  Have all relevant materials/processes been evaluated for manufacturability and producibility in a production-representative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 
•  Have all relevant materials/processes been evaluated for manufacturability, producibility, and DMSMS resilience in a production-representative environment?
Lessons Learned:
•  It is crucial to continually address the producibility of hardware by assessing demonstrated process capability and, as more data becomes available, see if it will to meet production requirements.
•  This can be a good time to make design changes with minimal negative impact to program cost and schedule.
</t>
  </si>
  <si>
    <t>Lower-level performance requirements sufficient to ...</t>
  </si>
  <si>
    <t>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  Lower level performance requirements documented
•  Enabling/critical technologies and components documentation
•  Documentation of the evaluation of design Key Characteristics (KCs)
•  Documentation of product data required for prototype component manufacturing released
Questions (MRL Criteria in the form of a question):
1.  Are lower level performance requirements (e.g., those needed to meet initial KPPs) sufficient to proceed to the preliminary design?
2.  Have all enabling and/or critical technologies and components (e.g., those needed to meet performance requirements) been identified? 
3.  Has the product lifecycle been considered in identifying enabling and/or critical technologies and components?
4.  Has the evaluation of the design for Key Characteristics (KCs) been initiated? 
5.  Has the product data required to manufacture prototypes at the components level been released?
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and cost/schedule impact analyses to support trade-offs among alternatives?
Lessons Learned: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</si>
  <si>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  System Allocated Baseline
•  Defined product requirements and features
•  Prototype product data released
•  Demonstration documentation
•  Preliminary KCs documented and mitigation plans
Questions (MRL Criteria in the form of a question):
1.  Has the allocated baseline for the system been established?
2.  Are the product requirements and features well enough defined to support Preliminary Design Review (PDR)?
3.  Has the required product data essential for manufacture of prototypes at the subsystem and/or the system level been released?
4.  Have all enabling and/or critical prodcuts at the component level been prototyped?
5. Have all preliminary Key Characteristics (KCs) for the design been identified?
6. Have mitigation plans for Key Characteristics (KCs) been initiated?
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cost and schedule impact analyses to support trade-offs among alternatives?
Lessons Learned: 
•  A production-relevant environment is different for different products, which is often dependent on rates and quantities of items being produced and the complexity of those items.  For example, a production-relevant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t>
  </si>
  <si>
    <t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 Preliminary Design Review (PDR) Data
• Integrated Baseline
• Technology Readiness Assessment (TRA)
• MRL Assessment (MRA)
• Defined product design and features
• All product data essential for component manufacturing released
• Potential Key Characteristic (KC) risk issues identified
• Preliminary Key Characteristic (KC) issues defined and mitigation plans are in development
Questions (MRL Criteria in the form of a question):
1. Are the product design and features well enough defined to support Critical Design Review?
2. Has the impact of design change traffic on design maturity been evaluated as a risk or issue?
3. Has all of the product data essential for manufacture of products at the component level been released?
4. Have risks and issues to Key Characteristics been identified?
5. Are mitigation plans in place for identified Key Characteristic (KC) risks and issues?
Additional Considerations:
• Is system design sufficient and stable enough to successfully pass CDR?
• Are all technologies mature enough for production?
• Are the design risks known and manageable?
• Industrial base viability
• Probability of meeting the delivery date (e.g., for qualification units)
• Process maturity
• Manufacturing costs
• Supply chain management
• Quality management
• Facilities
• Manufacturing skills availability
Lessons Learned: 
• A production-representative environment is different for different products, which is often dependent on rates and quantities of items being produced, and the complexity of those items.  For example, a production-representative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t>
  </si>
  <si>
    <t>Purpose: 
To ensure all materials, tooling, inspection and test equipment, facilities and manpower are in place and have met FRP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 Evidence that product design is stable with few design changes
• Evidence that all Key Characteristics are controlled in FRP to appropriate quality levels 
Questions (MRL Criteria in the form of a question):
1. Is the product design stable?
2. Are design changes limited to continuous improvement or to obsolescence?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t>
  </si>
  <si>
    <t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  Cost model information reflects prototype cost targets
•  Cost model influences design choices, make/buy, capacity, process capability, sources, quality, key characteristics, yield/rate, and variability
Questions (MRL Criteria in the form of a question):
1Have costs been analyzed using component level prototype actuals costs with the intent to ensure achievability of target costs?
2.  Is the up-to-date cost model being utilized as an input to decisions (trades) on design, make/buy choices, capacity requirements, process capability requirements, sources, quality requirements, Key Characteristics, yield/rate requirements, and variability control requirements?   
Additional Considerations: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STE/SIE are capitalized by the supplier, it may not be applicable to the analysis. Some level of clarification should be provided on when this data is considered.
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
</t>
  </si>
  <si>
    <t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  Cost model information reflects subsystem cost targets
•  Cost reduction and avoidance strategies
•  "Should-Cost" model
Questions (MRL Criteria in the form of a question):
1.  Have costs been analyzed using system and/or subsystem level prototype actuals with the intent to ensure achievability of target costs
2.  Have cost targets been allocated to subsystems? 
3.  Have cost reduction and avoidance strategies been developed? 
4.  Have manufacturing cost drivers for the "Should-Cost" models been provided?
Additional Considerations:  
•  You need actual build costs to perform an accurate Should-Cost review.
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
</t>
  </si>
  <si>
    <t>Purpose:  
To use demonstrated results from a production-representative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 Cost model information reflects subsystem cost targets
• Detailed trade studies and engineering change requests supported by cost estimates 
• Cost reduction and avoidance strategies underway
• Manufacturing cost drivers for "Should-Cost" models updated
Questions (MRL Criteria in the form of a question):
1. Have all available actual manufacturing costs been rolled up to the subsystem and/or system level?
2. Have all available actual manufacturing costs been tracked against targets?
3. Is the up-to-date cost model and life cycle cost estimate (LCCE) being utilized as an input to decisions on detailed design trade studies and engineering change requests? 
4. Are cost reduction and avoidance strategies being implemented (i.e., underway)?
5. Have the manufacturing cost drivers for the "Should-Cost" models been updated?
Additional Considerations:  
• You need actual build costs to perform an accurate Should-Cost review.
• Costs for subsystems and materials must be applicable to the objective military system design.
Lessons Learned: 
• The need for realism of the cost model requires the use of actual build data.  This data will impact the affordability of alternatives being considered.
• The cost model needs to be populated with actual production-representative build data, and it must continually be updated to reflect changes.
• A program must stay focused on the cost reduction effort at the beginning of EMD, or, when you transition into production, you will use the inefficiencies in the past to justify the cost for production versus what it should cost.</t>
  </si>
  <si>
    <t xml:space="preserve">Purpose:  
To ensure the budget is adequate to achieve MRL 4, and to ensure there are mitigation plans in place to address all outstanding issues from initial MRL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   Manufacturing technology initiatives identified and documented 
•   Reasonable manufacturing budget estimate documented to reach MRL 6 by Milestone B
•   Cost estimates include capital investment for equipment to be used in the production-relevant environment
•   Outstanding MRL 4 risks and issues have approved mitigation plans
Questions (MRL Criteria in the form of a question):
1. Have manufacturing technology initiatives been incorporated to reduce costs?
2. Does the program have a reasonable manufacturing budget estimate to reach MRL 6 by Milestone B?
3. Does the manufacturing budget estimate include capital investment for equipment to be used in the production-relevant environment?
4. Are all outstanding MRL 4 risks areas understood with approved mitigation plan funding in place?
Additional Considerations:  
• The government program manager, the contractor, and the service-specific ManTech organization need to firm up what investments need to be made to address affordability on the program.
• Affordability risks include large cost items, items with large variations, and new items with unknown costs.
• Potential investments might be in material, labor, major Non Recurring Engineering (NRE) for both Contractor and suppliers, tooling, facilities, etc. 
Lessons Learned: 
• Product affordability has the highest likelihood of being achieved if investments to reduce cost begin during the process of hardware development.
• Budgeting efforts should be programmed to mature the manufacturing processes and to understand the risk.
</t>
  </si>
  <si>
    <t xml:space="preserve">Purpose:  
To ensure the budget is adequate to achieve MRL 6, and to ensure there are mitigation plans in place to address all outstanding issues from initial MRL Assessments. The program manager needs to assess the funding available to achieve an MRL 6 by the end of TMRR, and if there is not, to identify the risk of proceeding into EMD.  He should build prototypes in a production-relevant environment by the end of TMRR.
Sources of Information:  
This data should come from cost estimating, budgeting, design and manufacturing departments.
Examples of ‘Objective Evidence’:
•  Budget estimate for reaching MRL 6
•  Approved mitigation plans (MMPs) for MRL 5 risk areas
Questions (MRL Criteria in the form of a question):
1.  Does the program have an updated manufacturing budget estimate for reaching MRL 6 for PDR (by Milestone B)?
2.  Are all outstanding MRL 5 risks and issues understood with approved mitigation plan funding in place?
Additional Considerations:  
•  Does equipment, tooling, or STE/SIE at the supplier require investment? If so, who will fund it?
•  Consider leveraging outside investments (e.g., SBIR, IRAD, ManTech, etc.).
Lessons Learned: 
•  Product affordability has the highest likelihood of being achieved if investments to reduce cost have begun by this stage.
</t>
  </si>
  <si>
    <t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  Budget estimate for reaching MRL 8
•  Cost estimate includes capital investment
•  Approved mitigation plans (MMPs) for MRL 6 risk areas
Questions (MRL Criteria in the form of a question):
1.  Does the program have a reasonable manufacturing budget estimate for reaching MRL 8 for LRIP (by Milestone C)?
2.  Does the manufacturing budget estimate include capital investment for production-representative equipment for CDR? 
2.  Does the manufacturing budget estimate include capital investment for pilot line? 
3.  Are all outstanding MRL 6 risks and issues understood with approved mitigation plan funding in place?
Additional Considerations:  
•  Does equipment, tooling, or STE/SIE at the supplier require investment? If necessary, has this been considered in overall program cost estimates?
Lessons Learned: 
•  Product affordability has the highest likelihood of being achieved if investments to reduce cost have begun before EMD.
</t>
  </si>
  <si>
    <t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tooling/STE/SIE,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  Documented cost model information
Questions (MRL Criteria in the form of a question):
1. Are the end-to-end cost models driven by results of simulations or by results of producing prototype components in a production-relevant environment?
2. Does the cost model include materials, labor, equipment, tooling, special test equipment, special inspection equipment, setup, yield, scrap, rework, Work-in-Progress, and capability and/or capacity constraints?
Additional Considerations:  
•  There should be a reduced reliance on laboratory processes and resources at this stage.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STE/SIE are capitalized by the supplier, it may not be applicable to the analysis. Some level of clarification should be provided on when this data is considered.
Lessons Learned: 
•  The process of cost estimation and allocation has the highest probability of success if identified and implemented early in the product life cycle.
•  Quantities and rates at this phase are still somewhat notional.
</t>
  </si>
  <si>
    <t>Purpose:  
To use demonstrated results from a production-representative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 Updated budget estimate for reaching MRL 8
• Approved mitigation plans (MMPs) for MRL 7 risk areas
Questions (MRL Criteria in the form of a question):
1. Does the program have an updated manufacturing budget estimate for reaching MRL 8 for LRIP (by Milestone C)? 
2. Are all outstanding MRL 7 risks and issues understood with approved mitigation plan funding in place?
Additional Considerations:  
• You need actual build costs compared to original estimates to validate whether return on investment (ROI) is adequate to justify further investment.
• Costs for subsystems and materials must be applicable to the objective military system design.
Lessons Learned: 
• The need for realism of the cost model requires the use of actual build data.  This data will impact the affordability of alternatives being considered.
• The cost model needs to be populated with actual production-representative build data, and it must continually be updated to reflect changes.
• A program must stay focused on the cost reduction effort at the beginning of EMD, or, when you transition into production, you will use the inefficiencies in the past to justify the cost for production versus what it should cost.</t>
  </si>
  <si>
    <t xml:space="preserve">MRL 8:  Pilot line capability demonstrated; Ready to begin LRIP
This level is associated with readiness for a Milestone C decision, and entry into LRIP.  Technologies should have matured to at least TRL 7.  Detailed system design is essentially complete and sufficiently stable to enter LRIP.  All materials are available to meet the planned LRIP schedule.  Manufacturing and quality processes and procedures have been proven in a pilot line environment and are under control and ready for LRIP.  Known producibility risks pose no significant challenges for LRIP.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t>
  </si>
  <si>
    <t xml:space="preserve">Purpose:  
To ensure that adequate progress in the manufacturing technology efforts is being made by using demonstrated results from a pilot line environment.  To demonstrate that equipment and processes utilize mature technology and are adequate to achieve LRIP objectives.  Manufacturing equipment and processes should be based on new technology that is at a TRL of 8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 Manufacturing technology development plans
• Primary manufacturing technology efforts documented and some improvement efforts continuing
• Required manufacturing technology development solutions validated on a pilot line
Questions (MRL Criteria in the form of a question):
1. Are the primary manufacturing technology efforts concluding? 
2. Are manufacturing improvement efforts continuing?
3. Have the manufacturing technology solutions required been validated on a pilot line?
Additional Considerations:  
• How faithful is the pilot line to a true production environment (personnel, equipment, processes, work instructions, etc.)?
Lessons Learned: 
•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t>
  </si>
  <si>
    <t>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FRP.
Sources of Information:
This data should come from design and manufacturing departments.
Examples of ‘Objective Evidence’:
•  Producibility improvements implemented on the system 
•  Documentation verifying that known producibility issues have been resolved and pose no significant risk for LRIP
Questions (MRL Criteria in the form of a question):
1.  Have the producibility enhancement efforts (improvements) been implemented on system (for pilot line)?
2.  Are all known producibility risks and issues being managed for LRIP?
Additional Considerations: 
•  Have the manufacturing processes been assessed for capability to test and verify in production and their influence on Operations and Support (O&amp;S)?
•  Have all relevant materials/processes been evaluated for manufacturability and producibility in a pilot line environment? 
•  Can properly trained production personnel repeat the prototype work performed by development personnel? 
•  Were manufacturing SMEs at least involved as observers of the prototypes being developed by systems/design engineering?
•  What are the ultimate manufacturing cost implications when in production? 
•  Are the DMSMS impacts on the current design identified and addressed?
Lessons Learned:
•  It is important to continue to address the producibility of hardware by assessing demonstrated process capability and, as more data becomes available, see if it will meet production requirements.</t>
  </si>
  <si>
    <t xml:space="preserve">Purpose:  
To use this data to ensure that the Acquisition Strategy, Systems Engineering Plan, Manufacturing and Producibility plans, and planning for LRIP apply appropriate risk mitigation and make appropriate trades in the design process. At this phase of the program the design must be produced in a production environment. Producibility results may still be used in design trade-offs and program planning efforts, but these changes could negatively impact program cost and schedule.  
Sources of Information:
This data should come from engineering design, and manufacturing departments.
Examples of ‘Objective Evidence’:
•  Producibility assessments 
•  Trade studies
•  Producibility enhancement efforts
Questions (MRL Criteria in the form of a question):
1.  Have prior producibility enhancement efforts (improvements) been analyzed for effectiveness during LRIP?
2.  Are any additional producibility issues and risks discovered in LRIP being managed for FRP?  
Additional Considerations:  
•  What are the ultimate manufacturing cost implications when in production? 
•  Are producibility and process capability assessments ongoing to identify possible cost reductions?
•  Are producibility, process capability, and DMSMS resilience assessments ongoing?
Lessons Learned: 
•  Continually update assessments of product producibility as more data becomes available and use this data to assess whether program objectives can be met. </t>
  </si>
  <si>
    <t xml:space="preserve">Purpose: 
To assure known producibility risks pose no significant challenges for LRIP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 Critical Design Review (CDR) Data 
• Detailed design of product features and interfaces complete 
• All product data essential for system manufacturing released 
• Design change traffic has minimal impact on LRIP
• Key Characteristics attainable based upon pilot line demonstrations 
• MRL Assessment (MRA)
• Demonstration documentation
Questions (MRL Criteria in the form of a question):
1. Is the detailed design of product features and interfaces complete?
2. Has all the product data essential for manufacture of the system been released?
3. Does the design change traffic significantly impact LRIP?
Additional Considerations:
• Has the system product design baseline been established and documented to enable hardware fabrication and software coding to proceed with proper configuration management? 
• Are adequate processes and metrics in place for the program to succeed? 
• Are the design risks known and manageable? 
• Are all technologies mature enough for production? 
• Is the detailed design producible within the production budget? 
• Is detail design complete and stable enough to enter LRIP? 
• Have manufacturing processes been demonstrated and proven in a pilot line environment? 
• Have all producibility trade studies and risk assessments been completed? 
• Is the production cost model based upon the stable detailed design and been validated? 
• Are the production facilities ready and required workers trained?
• Is the program schedule executable (technical/cost risks)?
• Is the program properly staffed?
• Does the system or subsystem have Information Assurance (IA) Certification and Accreditation approval from the system DAA?  Is a signed authorization memo available?  If the answer is no, contact the program’s Information Assurance POC to discuss potential risks.
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t>
  </si>
  <si>
    <t>Purpose: 
To assess the manufacturing maturity of the program using MRL criteria to ensure recommended activities have been accomplished before proceeding into FRP, and to use design data created up to this point to assess the manufacturing risk and determine whether manufacturing processes will fall within the program’s cost and schedule objectives.  To develop risk mitigation plans to minimize manufacturing risk in FRP.  Demonstrating critical manufacturing processes in a production environment is critical to assessing manufacturing risk and obtaining confidence you can achieve program cost, schedule and performance requirements before proceeding into FRP.  To do this, the design must be matured for critical manufacturing technology areas.  Once determined, LRIP capability can be established to start manufacturing critical parts and components.  The emphasis is on addressing higher risk areas (e.g., more advanced technologies and newer manufacturing capabilities). 
Sources of Information: 
Information can be obtained from Detailed Design Packages and Developmental and Operational Test and Evaluation Reports.
Examples of ‘Objective Evidence’:
•  System configuration management shows stability of changes
•  System design validated through operational testing 
•  Documentation for Physical Configuration Audit (PCA) or equivalent complete
•  Design change traffic limited to minor configuration changes 
•  Documented control of Key Characteristics (KCs) in LRIP to appropriate quality levels
Questions (MRL Criteria in the form of a question):
1. Are the major product design features and the configuration stable?
2. Has operational testing of production products validated the system design?
3. Has a Physical Configuration Audit (or equivalent) determined conformance of the as-built product to the documented design and verified the product baseline?
4. Is the design change traffic limited?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</si>
  <si>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 Documentation that LRIP cost goals been met 
• Learning curve analyzed with actual data 
• Cost reduction initiatives documented 
• Touch labor efficiency analyzed to meet production rates 
• Plans for elements of inefficiency for touch labor available
Questions (MRL Criteria in the form of a question):
1. Have LRIP cost goals been met?
2. Have the learning curves been analyzed with actual data? 
3. Are the cost reduction and cost avoidance initiatives ongoing? 
4. Has touch labor efficiency been analyzed to meet production rates?
5.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t>
  </si>
  <si>
    <t>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 Material verification proven and validated during Engineering and Manufacturing Development (EMD) as adequate to support LRIP
• Material specifications stable
Questions (MRL Criteria in the form of a question):
1. Have the materials been proven and validated during Engineering and Manufacturing Development (EMD) as adequate to support LRIP?
2. Are material specifications stable (i.e., no changes to specifications)?
Additional Considerations:  
• Consider lead times, obsolescence, new suppliers where availability is not proven, sole/ foreign sources, volume rates that are higher than typical, ITAR, REACH concerns, etc.
Lessons Learned: 
• Material maturity must be continually assessed in this program phase, and the focus will be on transition to production (i.e. LRIP).</t>
  </si>
  <si>
    <t>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 Material verification documentation
• Material specifications controlled
• Material proven and validated as adequate to support FRP
Questions (MRL Criteria in the form of a question):
1. Are all materials meeting specifications duringLRIP? 
2. Have the materials been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t>
  </si>
  <si>
    <t>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 Simulation models verified by the pilot line
• Results of the simulation models used to improve processes and determine that LRIP requirements can be met
Questions (MRL Criteria in the form of a question):
1. Have the modeling &amp; simulations been verified by the pilot line build?
2. Have the results of pilot line modeling &amp; simulations been used to improve process? 
3. Do the results of pilot line modeling &amp; simulations demonstrate that LRIP requirements can be met?
Additional Considerations:  
• Models and simulations are only useful if they reflect actual build data prior to entering LRIP.
Lessons Learned: 
• Continually update models and simulation tools as more build data becomes available, and use this information to identify risk areas as you transition into production.</t>
  </si>
  <si>
    <t>Purpose:  
To demonstrate that manufacturing process capabilities are proven to be adequate in a pilot line production environment, to ensure ability to achieve LRIP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 Manufacturing processes for LRIP verified on a pilot line
• Capability data from the pilot line meets the target 
• Process capability requirements for LRIP refined based on Pilot Line data
Questions (MRL Criteria in the form of a question):
1. Have the manufacturing processes to be used for LRIP been verified on a pilot line?
2. Does the data collected from pilot line builds meet the process capability (i.e., Cpk) targets? 
3. Based on the data collected from pilot line builds, have the requirements for process capabilities (i.e., Cpk) been refined for LRIP and FRP? 
Additional Considerations:  
• Taguchi Design of Experiments (DOE) is an effective approach to control process variability.
Lessons Learned: 
• One of the important steps for achieving this requirement is to work with the contractor/ supplier on what represents a pilot production line for your programs. This effort should be done as soon as practical and if at all possible, before the award of the contract for EMD. 
• This difficult task will require SMEs to help define the requirements that best support your unique program requirements. 
• What future rate and performance requirements and what critical processes need to be monitored on the Pilot line to ensure LRIP cost, schedule, and performance objectives will be met. 
• Focusing in on process capability measures via Statistical Process Control (SPC) may not be possible due to small lot sizes; therefore, look at other key performance output measures to determine the process capability (e.g., first pass yield, scrap/rework, cycle time, etc.).</t>
  </si>
  <si>
    <t>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 Pilot line yield and rate targets achieved
• Yields and rates required to begin LRIP are refined using pilot line articles actual data
• Yield and rate improvement plans are being updated based on actual data
Questions (MRL Criteria in the form of a question):
1. Have pilot line yields and rates been achieved?
2. Are the results of an evaluation of yields and rates from the pilot line being used to refine LRIP requirements?
3. Are yield and rate improvement plans ongoing and up-to-date?
Additional Considerations:  
• Exercise caution, because even if you meet yield requirements in EMD, the risk could still be high for FRP quantities.
• The contractor should implement a continuous improvement program using data generated from the pilot line.
Lessons Learned: 
• Continually update yield and rate targets as more data becomes available and use the data to make informed program decisions and process improvements.</t>
  </si>
  <si>
    <t>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 Yields and rates and targets documented and evaluated against targets
• Improvement plans reflect results from the yields and rates from LRIP
Questions (MRL Criteria in the form of a question):
1. Have the LRIP yield and rate targets been achieved? 
2. Are the results of an evaluation of yields and rates from LRIP being used to refine rate production (FRP) requirements?
3. Are yield and rate improvements on-going?
Additional Considerations:  
• None
Lessons Learned: 
• Continually update yield and rate targets as more data becomes available and use the data to make informed program decisions and process improvements.</t>
  </si>
  <si>
    <t>Purpose: 
To apply quality targets/thresholds to LRIP data to evaluate the Quality Management System(s) coming out of Milestone C and to demonstrate the capability of the production and quality systems to handle FRP.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FRP.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FRP.
Examples of ‘Objective Evidence’:
• Quality Plan and a Quality Management System documented
• Quality targets verified during LRIP
• Continuous quality improvement activity evident
• Management review of quality targets and appropriate actions evident
Questions (MRL Criteria in the form of a question):
1. Have quality targets been verified on the LRIP line?
2. Is continuous quality improvement on-going? 
3. Is management review of quality measures conducted on a regular basis with appropriate actions being taken?
Additional Considerations:
• What quality targets are in place, and what is your status in achieving these targets?
• Does quality data from LRIP units provide confidence in the QMS which will be used on this program?
• Is the QMS compliant with AS9100 or another Industry Standard?
Lessons Learned: 
• Preparing for FRP,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FRP.  These quality improvements will help ensure a capable quality system for LRIP and FRP.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 Per Quality Management Systems requirements (e.g., AS9100), the Quality Manager is to report to the ‘Executive Level’ within companies.</t>
  </si>
  <si>
    <t>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FRP when IOT&amp;E is successfully completed.
Sources of Information: 
The majority of information will come from QA inspection and acceptance data and from production data.    
Examples of ‘Objective Evidence’:
• Key Characteristic management policy/procedure documented
• Data from LRIP demonstrate that production processes for all Key Characteristics and other manufacturing processes critical to quality are capable and under control for FRP 
• Acceptance test procedures and in-process and final inspections documentation   
Questions (MRL Criteria in the form of a question):
1. Does analysis of LRIP quality data show that all Key Characteristics, as well as other critical-to-quality manufacturing processes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</si>
  <si>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 xml:space="preserve">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 Manufacturing workforce skills documented – employee &amp; personnel training records
• Manufacturing workforce resource plan – employee &amp; personnel training records
• Evidence that LRIP personnel requirements been met
Questions (MRL Criteria in the form of a question):
1. Have all workforce requirements for LRIP been met? 
2. Have the plans to achieve the manufacturing workforce resources required for rate production (FRP) requirements been implemented?
Additional Considerations:
• Ensure production personnel are properly cross-trained for critical skills to avoid work stoppages in case of absences.
• Does personnel turnover and/or retention affect the ability to have adequate capabilities available?
• Is new personnel training adequate to provide the necessary skills?
Lessons Learned: 
• As you transition to FRP, examine union agreements and other contingencies that might impact higher rates. 
• Retirement of an aging workforce can affect the availability of critical skills.
</t>
  </si>
  <si>
    <t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  All tooling, test, and inspection equipment proven on the pilot line 
•  All tooling, test and inspection equipment requirements identified for LRIP
•  Manufacturing equipment maintenance demonstrated on pilot line 
•  All STE/SIE validated as part of pilot line validation IAW validation plan
Questions (MRL Criteria in the form of a question):
1.  Have all tooling, test, and inspection equipment been proven on the pilot line?
2.  Have additional tooling, test and inspection equipment requirements been identified for LRIP? 
3.  Have Special Test Equipment, and/or Special Inspection Equipment been validated as part of pilot line and IAW validation in accordance with the validation plan? 
4.  Have maintenance process and procedures for manufacturing equipment (including tooling, Special Test Equipment, and/or Special Inspection Equipment) been demonstrated on pilot line?
Additional Considerations:  
•  Is there a documented record of calibration and certification of STE/SIE?
•  Is there a documented record of calibration and certification of STE/SIE?
Lessons Learned: 
•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  Examine the rate capability and utilization of EMD tooling and test equipment to ensure there is adequate capacity.  If insufficient, ensure that the program has identified and budgeted money to obtain the required tooling and test equipment for LRIP. 
•  In the past, program managers have assumed there was adequate test equipment capacity available using EMD assets, which turned out not to be case because of assets needed to support Operation Test and Evaluation (OT&amp;E) or other test efforts. 
•  Metrology of tooling and STE/SIE is especially critical for precision hardware, since it must be recalibrated and recertified at regular intervals.
•  Tooling and test equipment are especially prone to DMSMS </t>
  </si>
  <si>
    <t xml:space="preserve">Purpose:  
To demonstrate facilities are adequate by building the early EMD units in a production-representative environment. To ensure the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 Manufacturing plan
• Manufacturing facilities identified to produce the LRIP build 
• Plans for the identified manufacturing facilities developed to produce the LRIP build
Questions (MRL Criteria in the form of a question):
1. Have manufacturing facilities been identified to produce the LRIP build?
2. Have plans for the identified manufacturing facilities been developed to produce the LRIP build?
3. Have requirements for human factors and ergonomics for manufacturing personnel, processes, and equipment been validated in a production-representative environment?
4. Have safety requirements for manufacturing personnel, processes, and equipment been validated in a production-representative environment?
Additional Considerations: 
• Have funds been programmed or expended for necessary facilities, equipment and tooling?
Lessons Learned: 
•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 You should start using planned production facilities as soon as practical in EMD.
</t>
  </si>
  <si>
    <t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 Manufacturing plan updated for LRIP
• All key manufacturing risks identified and assessed with approved mitigation plans in place 
• Work instructions in place and finalized 
• An effective production control system is in place to support LRIP
• Integrated Master Plan/Schedule (IMP/S)
Questions (MRL Criteria in the form of a question):
1. Has the manufacturing plan been updated for LRIP?
2. Have all manufacturing risks and issues been identified and assessed?
3. Do all identified manufacturing risks and issues have approved mitigation plans in place?
3. Have work instructions been finalized? 
4. Is an effective production control system in place to support LRIP?
Additional Considerations:
• Is the overall manufacturing approach adequate for LRIP?
• Have all manufacturing risks been identified with mitigation plan developed?
• Are manufacturing risks incorporated into the overall risk management program?
• Has a manufacturing flow been developed?
• Has a Manufacturing Plan been developed to reflect the LRIP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Pilot Line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 Is WIP properly protected against damage during the manufacturing process?  
• Is production material properly maintained against adverse effects of extreme heat or cold, moisture, ultraviolet light, unacceptable particulate matter (dust, dirt, grime, as applicable), or any other condition which would compromise the material?
Lessons Learned:
•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t>
  </si>
  <si>
    <t xml:space="preserve">MRL 9:  LRIP demonstrated; Capability in place to begin FRP
At this level, the system, component or item has been previously produced, is in production, or has successfully achieved LRIP.  Technologies should have matured to TRL 9.  This level of readiness is normally associated with readiness for entry into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LRIP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LRIP, a subsequent review and decision will authorize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FRP) and production-representative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production-representative and pilot lines should show these targets are achievable entering LRIP.  The material selection and material resource planning system will also be successfully demonstrated on production-representative articles in LRIP.
</t>
  </si>
  <si>
    <t xml:space="preserve">MRL 10:  FRP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FRP and meet all engineering, performance, quality and reliability requirements.  Manufacturing process capability is at the appropriate quality level.  All materials, tooling, inspection and test equipment, facilities and manpower are in place and have met FRP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t>
  </si>
  <si>
    <t xml:space="preserve">Purpose:  
To assess the progress of on-going manufacturing technology efforts and, using data generated in a production environment, to determine whether new efforts are required. The program manager must understand the necessary manufacturing technology efforts and the associated risk to produce LRIP units. 
Sources of Information:  
This data should come from design and manufacturing departments.
•  Manufacturing technology process improvement plans
Questions (MRL Criteria in the form of a question):
1. Have manufacturing technology process improvement efforts been initiated for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t>
  </si>
  <si>
    <t>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After the MS C decision, industrial base considerations are now focused on the prime integrating contractor and supply chain team for FRP, with consideration of alternate sources required to mitigate specific risks.
Sources of Information:  
This data should come from cost, engineering design, and manufacturing departments.
Examples of ‘Objective Evidence’:
•  Producibility assessments 
•  Demonstration of producibility improvements in FRP
•  Producibility enhancement efforts
•  Industrial base capabilities assessment
•  Forecasts generated from DMSMS predictive tools and/or direct manufacturer contact
•  Requirements from DMSMS management contracts 
•  Programming and budgeting line items for DMSMS management consistent with forecasts and contracts
•  Supplier management documentation
•  Industrial base capabilities assessment to support modifications, upgrades, surge, and other potential manufacturing requirements
•  Material availability risk issues resolved and documented - DMSMS plans/documentation/budgets/contracts/forecasts
•  Material availability issues documented 
•  Forecasts generated from DMSMS predictive tools and/or direct manufacturer contact
•  Requirements from DMSMS management contracts
•  Programming and budgeting line items for DMSMS management consistent with forecasts and contracts
Questions (MRL Criteria in the form of a question):
1. Have design producibility improvements been demonstrated in FRP? 
2. Are process producibility improvements (continuous improvement enhancement efforts) ongoing?
3. Are all modifications, upgrades, DMSMS mitigation efforts and other changes being assessed for producibility?
Additional Considerations:  
•  Are producibility and process capability assessments ongoing to identify possible cost reductions?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  Consider issues associated with shipment and control of COMSEC units (affects shipping times)
•  Continually update assessments of product producibility and DMSMS resilience as more data becomes available and use this data to assess whether program objectives can be met
Lessons Learned: 
• Continually update assessments of product producibility as more data becomes available and use this data to assess whether program objectives can be met.</t>
  </si>
  <si>
    <t>Purpose:  
MRL 10 occurs in the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 Cost model has been validated against actual FRP cost
Questions (MRL Criteria in the form of a question):
1. Has the cost model been validated against actual FRP cost?
Additional Considerations:  
• None
Lessons Learned: 
• The key is to continually update your cost models as more data becomes available.</t>
  </si>
  <si>
    <t>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 Evidence that FRP cost goals have been met
• Evidence that cost reduction initiatives are continuing
Questions (MRL Criteria in the form of a question):
1. Have FRP cost goals been met?
2. Are the cost reduction and cost avoidance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FRP even though process technologies need to change.</t>
  </si>
  <si>
    <t>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 Material specifications
• Material specifications controlled
Questions (MRL Criteria in the form of a question):
1. Are all materials meeting specifications during FRP?
Additional Considerations:  
• None
Lessons Learned: 
• It is crucial to continually assess material maturity data to ensure program objectives will be met.</t>
  </si>
  <si>
    <t>Purpose:  
To assess the material availability for FRP and ensure there are no significant risks.
Sources of Information:  
This data should come from material, supplier management, design and manufacturing departments.
Examples of ‘Objective Evidence’:
•  Long lead procurements initiated for FRP
•  Availability risk issues identified for FRP - DMSMS plans/documentation/budgets/contracts/forecasts
•  Forecasts generated from DMSMS predictive tools and/or direct manufacturer contact
•  Requirements from DMSMS management contracts
•  Programming and budgeting line items for DMSMS management consistent with forecasts and contracts
Questions (MRL Criteria in the form of a question):
1. Have long lead procurements been initiated for FRP? 
2. Are all materials availability risks and issues being managed (i.e., mitigations plans being executed) for LRIP? 
3.  Are all DMSMS mitigations ongoing?
Additional Considerations:  
•  Initiation of long lead items may be much too late if you are within the lead-time for these long-lead items or those with DMSMS risk for scheduled FRP production.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t>
  </si>
  <si>
    <t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 Simulation models verified by LRIP build
• Simulation models used to determine if FRP requirements can be met
Questions (MRL Criteria in the form of a question):
1. Have modeling &amp; simulations been verified by LRIP build.
2. Are modeling &amp; simulations used to assist in the management of LRIP?
3. Do the results of LRIP modeling &amp; simulations demonstrate that FRP requirements can be met?  
Additional Considerations:  
• None
Lessons Learned: 
• Continually update models with actual build data and use those tools to assess future risk. </t>
  </si>
  <si>
    <t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 Simulation models verified by FRP build
• Production simulation models used as a tool
Questions (MRL Criteria in the form of a question):
1. Have modeling &amp; simulations been verified by FRP build?
2. Are modeling &amp; simulations used to assist in the management of FRP?
Additional Considerations:  
• None
Lessons Learned: 
• Continually update models with actual build data and use those tools to assess future risk. </t>
  </si>
  <si>
    <t>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 Process maturity assessed on similar processes in production documented
• Process capability requirements identified and documented for pilot line, LRIP and FRP
Questions (MRL Criteria in the form of a question):
1. Has process maturity been assessed on similar processes currently in production?
2. Have process capability requirements been identified for pilot line, LRIP and FRP?
Additional Considerations:  
• You should understand risk that each selected alternative presents--especially for critical processes.
Lessons Learned: 
• The need for realism in the process capability assessment requires using actual hardware build data as soon as possible.</t>
  </si>
  <si>
    <t>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 Manufacturing processes demonstration documented
• Process capability documentation
• variability experiments documentation
Questions (MRL Criteria in the form of a question):
1. Are manufacturing processes stable, capable, and adequately controlled (i.e., meeting Cpks) for LRIP?
2. Have manufacturing processes achieved program LRIP objectives? 
3. Have variability experiments been conducted to show impacts from FRP?
4. Have variability experiments been conducted to determine the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t>
  </si>
  <si>
    <t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  Target yield and rates established and documented for the pilot line, LRIP, and FRP
•  Detailed production schedule supports the required production rate 
•  Plans have been developed/initiated for yield and rate improvement
Questions (MRL Criteria in the form of a question):
1.  Have target yield and rates been established for the pilot line, LRIP, and FRP?
2.  Have any risks and issues arising from yields and rates been identified?
3.  Have improvement plans for yields and rates been developed and initiated? 
Additional Considerations:  
•  It is important at this phase to develop process improvement plans where design trade-offs and process selection can be made easier to achieve program requirements.
Lessons Learned: 
•  The yields being demonstrated versus what are required is a best indicator to provide the current maturity and risk of proceeding forward.
•  If yields are below 60% on critical processes at this stage, you need to monitor this process very closely.  </t>
  </si>
  <si>
    <t>Purpose: 
To continuously improve quality in support of, and throughout FRP.  LRIP data out of the QMS helps identify opportunities for continuous improvement.  Quality data should indicate the level of maturity of the production system is commensurate with a program in FRP.   For FRP,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FRP.  
Sources of Information: 
At this stage in the acquisition process data from production units should be available.  Post Milestone C assessment(s) of system performance, including an MRL Assessment leading into FRP, is a primary source of program specific information at this phase.  The manufacturing and quality systems should be defined and proven coming out of the FRP decision, allowing for ongoing efforts to continuously improve quality.
Examples of ‘Objective Evidence’:
• Quality targets verified on the FRP line 
• Evidence that continuous quality improvement is on-going 
• Quality Plan and a Quality Management System documented
Questions (MRL Criteria in the form of a question):
1. Have the previously established quality targets for FRP been verified by actual quality data?
2. Is continuous quality improvement on-going?
3. Are statistical controls being applied where appropriate?
Additional Considerations:
• What quality targets are in place, and what is your status in achieving these targets?
• Does quality data from Rate Production units provide confidence in the QMS which will be used on this program?
• Is there enough flexibility in the QMS to accommodate fluctuating production rates (accelerated production or program delay/stretched out production)?
• Is the QMS compliant with AS9100 or another industry standard? 
Lessons Learned: 
• Following the FRP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FRP.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</si>
  <si>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Purpose:  
To demonstrate that the tooling and test equipment have been adequately proven to proceed into FRP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  Evidence that all tooling, test, and inspection equipment were proven in LRIP
•  FRP tooling and STE/SIE requirements documentation
•  Manufacturing equipment maintenance plans
•  STE/SIE validation and revalidation documented
Questions (MRL Criteria in the form of a question):
1.  Has all tooling, test, and inspection equipment (i.e., STE/SIE) been proven in the LRIP?
2.  Have additional tooling, test, and inspection equipment (i.e., STE/SIE) requirements been identified for FRP?
3.  Have maintenance process and procedures for manufacturing equipment (including tooling, Special Test Equipment, and/or Special Inspection Equipment) been demonstrated during LRIP?
4.  Has validation of Special Test Equipment, and/or Special Inspection Equipment (STE/SIE) been maintained during LRIP?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FRP.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
•  Tooling and test equipment are especially prone to DMSMS issues</t>
  </si>
  <si>
    <t>Purpose:  
To proceed to FRP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  Tooling and STE/SIE demonstrated for FRP and documented
•  Planned equipment maintenance documented
•  Evidence that STE/SIE validation and revalidation has been completed
Questions (MRL Criteria in the form of a question):
1.  Is all tooling, test, and inspection equipment (i.e., STE/SIE) for FRP in place? 
2.  Has a planned equipment maintenance schedule been achieved?
3.  Has Special Test Equipment (STE) / Special Inspection equipment (SIE) validation been maintained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FRP.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
•  Tooling and test equipment are especially prone to DMSMS issues</t>
  </si>
  <si>
    <t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 Manufacturing plan
• Pilot line facilities demonstrated 
• Plan in place to support the transition to FRP
• Workplace safety adequate – Safety records
Questions (MRL Criteria in the form of a question):
1. Have pilot line facilities been successfully demonstrated?
2. Are manufacturing facilities adequate and ready to begin LRIP? 
3. Are plans in place to support manufacturing facilities transition to FRP?
4. Is workplace safety meeting requirements (i.e., adequate)?
5. Have human factors and ergonomics for manufacturing personnel, processes, and equipment been demonstrated on a pilot line?
6. Have safety requirements for manufacturing personnel, processes, and equipment been demonstrated on a pilot line?
Additional Considerations: 
• New facility construction, if required, should be virtually complete at this time.
Lessons Learned: 
• New facilities can be major cost and risk drivers, and their capability must be fully understood before proceeding into Production. If there are facilities required in production that have not yet been demonstrated in EMD, you must ensure risk management is applied. 
• You also need to verify rate capability and utilization of EMD facilities to be sure there is adequate capacity in those facilities or that the program manager has identified and has capital to obtain additional facilities for LRIP.
</t>
  </si>
  <si>
    <t>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 Manufacturing plan
• Manufacturing facilities demonstrated for LRIP 
• Capacity Plan(s) to support FRP
Questions (MRL Criteria in the form of a question):
1. Have manufacturing facilities been successfully demonstrated in LRIP?
2. Are manufacturing facility capacity plans adequate to meet the requirements for FRP? 
3. Have human factors and ergonomics for manufacturing personnel, processes, and equipment been demonstrated during LRIP?
4. Have safety requirements for manufacturing personnel, processes, and equipment been demonstrated during LRIP?
Additional Considerations:  
• None
Lessons Learned: 
• The capability and capacity of the facilities can be major cost and risk drivers and must be assessed if you wish to demonstrate that there is no significant manufacturing risk for FRP.  You must examine the major elements that drive capacity (e.g., cycle time, yield, scrap and rework, etc.) when you assess capacity to achieve program requirements.</t>
  </si>
  <si>
    <t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 Manufacturing plan
• Facilities management plan in place to meet FRP build
• Evidence that capacity of the production facilities have been demonstrated to meet FRP requirements
Questions (MRL Criteria in the form of a question):
1. Are the production facilities in place to meet FRP requirements?
2. Has the capacity of the production facilities been demonstrated to meet maximum FRP requirements?
3. Have human factors and ergonomics for manufacturing personnel, processes, and equipment been demonstrated during FRP?
4. Have safety requirements for manufacturing personnel, processes, and equipment been demonstrated during FRP?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FRP.  You need to look at key elements in this area (e.g., cycle time, yield, scrap and rework, etc.) when you assess the capability and capacity. </t>
  </si>
  <si>
    <t>Purpose: 
To ensure that an adequate manufacturing approach has been demonstrated in a LRIP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 System risk management plans and mitigation 
• Manufacturing plan updated for FRP
• Evidence that an effective production control system is in place to support FRP
• Documented program risk process
Questions (MRL Criteria in the form of a question):
1. Has the manufacturing plan been updated for FRP?
2. Are all manufacturing risks and issues being managed?
3. Is an effective production control system in place to support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 Is WIP properly protected against damage during the manufacturing process?  
•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t>
  </si>
  <si>
    <t>Purpose: 
To ensure that an adequate manufacturing approach has been demonstrated in a LRIP environment and that adequate planning is available for cost-effective production at high rates.    
Sources of Information:
The majority of the information should be available in the Manufacturing Plan and production floor manufacturing documentation.  
Examples of ‘Objective Evidence’:
•  Make/Buy decisions documented for FRP 
•  BOM documentation for FRP 
•  Evidence that the material planning system was proven in LRIP and sufficient for FRP
•  Manufacturing Maturation Plans (MMPs)
Questions (MRL Criteria in the form of a question):
1.  Based on initial production, are there any changes to the make or buy decisions for FRP?
2.  Based on initial production, are there any changes to the Bill of Materials for FRP?
3.  Have material planning systems (i.e., MRP II, ERP, etc.) been proven in LRIP?
4.  Is the material planning systems (i.e., MRP II, ERP, etc.) sufficient for FRP?
Additional Considerations: 
•  What parts do we need to make or buy (Purchasing Plan)? 
•  How many of these parts do we need (Capacity Plan)? 
•  When must these parts be available (Detailed Manufacturing Schedule)?
•  Have you continued to check GIDEP and other predictive tool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</si>
  <si>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 Budget estimate for reaching MRL 9
• Cost estimate includes investment for LRIP and FRP
• Approved mitigation plans (MMPs) for MRL 8 risk areas
Questions (MRL Criteria in the form of a question):
1. Does the program have a reasonable manufacturing budget estimate for reaching MRL 9 by the FRP decision point?
2. Does the manufacturing budget estimate include investments for LRIP and FRP?
3. Are all outstanding MRL 8 risks and issues understood with approved mitigation plan funding in place?
Additional Considerations:  
• Do actual build costs validate whether return on investment (ROI) is adequate to justify further investment?
• Is the customer manufacturing representative involved and agree to the MRL Assessment and the Manufacturing Maturation Plan(s) to mitigate risks?
Lessons Learned: 
• Though the budget may be relying on actual pilot line build data, it must continually be updated to reflect changes. The key is to use the data to make informed program investments.
</t>
  </si>
  <si>
    <t>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 Budget estimate for reaching MRL 9
• Approved mitigation plans (MMPs) for MRL 9 risk areas
Questions (MRL Criteria in the form of a question):
1. Does the program have a reasonable manufacturing budget estimate for FRP?
2. Are all outstanding MRL 9 risks and issues understood with approved mitigation plan funding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t>
  </si>
  <si>
    <t xml:space="preserve">Purpose:  
To understand how the materials are being produced for prototypes and compare those results to what is required to achieve program objectives.  To do initial assessment of materials in a production-relevant environment. Use this information to put into place the appropriate mitigation plans to address all outstanding issues/risks, including DMSMS, for maturity and availability of your materials
Sources of Information:  
This data should come from material, supplier management, design and manufacturing departments.
Examples of ‘Objective Evidence’:
•  Material availability issues for prototype build documented
•  Significant material risks documented
•  Plans addressing scale-up issues available
•  Documentation showing that materials have been manufactured or produced in a prototype environment (e.g., production-relevant)
•  Forecasts generated from DMSMS predictive tools and/or direct manufacturer contact
•  Maturation efforts documented for new material production risks and issues
Questions (MRL Criteria in the form of a question):
1.  Have material availability risks and issues been addressed for the prototype build? 
2.  Have all materials been analyzed for availability risks and issues?
3.  Have all materials been analyzed for DMSMS risks and issue
4.  Has planning been initiated to address availability for scale-up?
Additional Considerations:  
•  Materials may be new to the industry, new to the product/program, new to the supplier, critical to the program, or present risk due to availability/ DMSMS/compatibility/criticality
•  Consider issues associated with shipment and control of COMSEC units (affects shipping times)
•  Consider lead times, obsolescence, new suppliers where availability is not proven, sole/ foreign sources, volume rates that are higher than typical, ITAR, REACH concerns, etc.
Lessons Learned: 
•  Materials availability risks must be presented to the acquisition community before transitioning to understand the overall risk of achieving program objectives.
•  Develop a plan to address material availability risk as the program goes through TMRR and transitions into EMD.
</t>
  </si>
  <si>
    <t xml:space="preserve">Purpose:  
To assess the material availability for the EMD phase and understand the risk. To begin addressing potential DMSMS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  Material availability issues documentation
•  Long-lead items list
•  Forecasts generated from DMSMS predictive tools and/or direct manufacturer contact
•  Obsolescence/DMSMS plans/documentation
Questions (MRL Criteria in the form of a question):
1.  Have material availability risks and issues been addressed to meet Engineering and Manufacturing Development (EMD) build?
2.   Have materials, items, components, etc. been identified which require a long lead time to obtain?
3.  Have materials, items, components, etc. been identified which are at risk fromDMSMS during the product life cycle? 
4.  Have components been assessed for future DMSMS risk?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management operations and resolving DMSMS issues?
Lessons Learned: 
•  Materials availability risks must be presented to the acquisition community before transitioning to understand the overall risk of achieving program objectives.
•  Develop a plan to address material availability risk as the program goes through TMRR and transitions into EMD. 
•  Addressing DMSMS issues must begin as early as possible. Often a program has not budgeted to address DMSMS.
•  DMSMS is difficult to address, and to do it adequately, it must be done in the early stages of the process before the design matures.
</t>
  </si>
  <si>
    <t>Purpose:  
To look forward to identify any issues for material availability for LRIP. Start putting into place strategies to minimize the impact of obsolescence/DMSMS issues. The program needs to consistently monitor material availability and obsolescence/DMSMS issues.
Sources of Information:  
This data should come from material, supplier management, design and manufacturing departments.
Examples of ‘Objective Evidence’:
•  Long lead procurements identified/planned for LRIP
•  Obsolescence/DMSMS plans/documentation in place
•  Forecasts generated from DMSMS predictive tools and/or direct manufacturer contact to support production
•  Requirements from DMSMS management contracts
•  Mitigation strategies in place for components with DMSMS issues
Questions (MRL Criteria in the form of a question):
1. Have material availability risks and issues been addressed to meet LRIP builds?
2. Have materials, items, components, etc. which require a long lead time been identified and mitigated for LRIP?
3. Are mitigation strategies in place for materials, items, components, etc. that are identified as at risk from DMSMS during the product life cycle?
4.  Are DMSMS mitigation strategies for components in place?
Additional Considerations:  
•  Identification of long lead items may be too late if you are within the lead-time for these long-lead items for scheduled LRIP production
•  Consider lead times, obsolescence, new suppliers where availability is not proven, singe/sole/foreign sources, volume rates that are higher than typical, ITAR, REACH concerns, etc.
•  Consider issues associated with shipment and control of COMSEC units (affects shipping times)
•  Has the program office planned and budgeted for DMSMS management and resolving DMSMS issues?
Lessons Learned: 
•  The program manager must continually assess material availability and manage DMSMS issues as the program moves into production.</t>
  </si>
  <si>
    <t>Purpose:  
To assess and address the material availability for LRIP and begin reviewing material issues for FRP.
Sources of Information:  
This data should come from material, supplier management, design and manufacturing departments.
Examples of ‘Objective Evidence’:
•  Long lead procurements initiated for LRIP - Purchase Orders or Contracts in place
•  Material availability risk issues minimized for LRIP
•  Availability issues addressed to meet FRP builds - Obsolescence/DMSMS plans/documentation/budgets/contracts/forecasts
•  DMSMS mitigations in place to address risk.
•  Requirements from DMSMS management contracts.
•  Programming and budgeting line items for DMSMS management consistent with forecasts and contracts
Questions (MRL Criteria in the form of a question):
1.  Are all materials availability risks and issues being managed (i.e., mitigations plans being executed) for LRIP?
2.  Have procurements for all long lead materials been initiated for LRIP?
3.  Are materials availability risks and issues being addressed (i.e., mitigation plans) to meet FRP builds?
4.  Are mitigation efforts to address DMSMS ongoing?
Additional Considerations:  
•  Initiation of long lead items may be much too late if you are within the lead-time for these long-lead items for scheduled LRIP production
•  Consider lead times, obsolescence, new suppliers where availability is not proven, single/sole/ foreign sources, volume rates that are higher than typical, ITAR, REACH concerns, etc.
•  Consider issues associated with shipment and control of COMSEC units (affects shipping times).
•  Has the program office planned and budgeted for DMSMS management operations and resolving DMSMS issues?
Lessons Learned: 
•  The program manager must continually assess material availability and manage DMSMS issues as the program moves into production (LRIP and FRP).</t>
  </si>
  <si>
    <t xml:space="preserve">Purpose:  
To assess the material availability for FRP and make sure there are no significant risks.
Sources of Information:  
This data should come from material, supplier management, design and manufacturing departments.
Examples of ‘Objective Evidence’:
•  Material availability risk issues resolved and documented - DMSMS plans/documentation/budgets/contracts/forecasts
•  Material availability issues documented 
•  Forecasts generated from DMSMS predictive tools and/or direct manufacturer contact
•  Requirements from DMSMS management contracts
•  Programming and budgeting line items for DMSMS management consistent with forecasts and contracts
Questions (MRL Criteria in the form of a question):
1.  Are all materials availability risks and issues being managed for FRP?
2.  Are mitigation efforts to address DMSMSongoing?
Additional Considerations:  
•  Consider issues associated with shipment and control of COMSEC units (affects shipping times).
Lessons Learned: 
•  The program manager must continually assess material availability and manage DMSMS issues as the program is in FRP. </t>
  </si>
  <si>
    <t>Purpose: 
To ensure suppliers can produce prototype components in a production-relevant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production-relevant environment will come from the manufacturing/industrial engineering and quality departments.
Examples of ‘Objective Evidence’:
• Documentation showing supply chain sources identified and evaluated as able to support prototype build
Questions (MRL Criteria in the form of a question):
1. Have potential suppliers been identified and evaluated as able to support prototype build?
2. Have sole/single/Foreign Owned, Controlled, or Influenced suppliesr been identified in the supply chain?
3.  Have suppliers with potential obsolescence issues been identified?
4.  Has planning been initiated to minimize risks from the above identified supply chain members?
Additional Considerations:
• Does a formal and effective sub-tier supplier management process exist?
• Are there preliminary assessments within the supply chain highlighting any concerns relative to tooling and/or testing that may impact prototype build?
Lessons Learned: 
• One of the important steps for achieving this requirement is to work with the contractor/ supplier on what represents a prototype production for your programs. 
• Understanding the long lead material, equipment, and resource situation are key to understanding where risk potentially lies in the prototype plan.  An understanding of these elements will help direct focus in the appropriate direction to provide for a successful prototype program. 
• Some type of formal communication of expectations and requirements that must be flowed down to the supply chain.  There must also be a channel in which the supply chain can flow up questions and concerns.</t>
  </si>
  <si>
    <t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  Program supply chain list
•  Supply chain policies/procedures and contracts/Purchase Orders (POs)
•  Critical suppliers list
Questions (MRL Criteria in the form of a question):
1.  Have requirements for the supply chain throughout the product lifecycle been updated?  
2.  Has the critical suppliers list been updated?
3.  Are plans in place that include a supply chain with sufficient resources, capabilities, and capacities to support an awarding of an engineering and manufacturing (EMD) contract award?
4. Are plans to minimize supply chain obsolescence issues and sole/single/Foreign Owned, Controlled, or Influenced suppliers complete?
5. Has the need for the remaining sole/single/Foreign Owned, Controlled, or Influenced suppliers been justified?
6. Have potential alternative suppliers been identified?
Additional Considerations:
•  Is there capacity at each of the identified suppliers to take on this workload?
•  Is there an understanding and ranking of the most “critical” suppliers, for quality and delivery?
•  Is there a list of supplier capability/capacity requirements and goals?
•  Have Critical/new supplier been identified for risk documentation?
Lessons Learned: 
•  Understand why a certain supplier is chosen for a particular part.  Ask if there has been similar product produced at that supplier and received by the consuming plant.  Ask about the working relationships between the parties.
•  Critical suppliers should understand the program schedule and be able to talk to any areas that may be a problem.  
•  Understand the supplier selection criteria as well as their past performance if available.
</t>
  </si>
  <si>
    <t>Lifecycle supply chain requirements updated. ...</t>
  </si>
  <si>
    <t>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 Supply chain management process defined, documented and in place
• Management of suppliers using metrics for tracking and managing supplier performance
• Plan developed for establishing predictive indicators
Questions (MRL Criteria in the form of a question):
1. Is there an effective supply chain management process defined, documented and in place?
2. Has a plan been developed for use of predictive indicators for risks in the supply chain?
3. Has an adequate assessment of the critical first tier supply chain been completed (i.e., capability, capacity, etc.)?
4.  Are  sole/single/Foreign Owned, Controlled, or Influenced suppliers being assessed and monitored?
5. Are suppliers with obsolescence issues being assessed and monitored?
6. Is the supply chain assessed and monitored for supplier stability?
7.  Have potential alternate suppliers been developed?
Additional Considerations:
• Has an adequate assessment of the first tier supply chain been completed?
• Is management aware of supplier performance metrics and ready to take action if needed?
• How are “high risk” suppliers managed? Is it different than less risky suppliers?
• Has the prime contractor flowed down the DPAS priority ratings to subcontractors and assured that the requirement has been passed on to lower tier vendors/suppliers? To other company divisions?
• Does the contractor have an adequate process in place to identify and ensure program requirements are properly flowed down to supplier/subcontractors?
• Does the prime contractor have a system that adequately controls subcontractors, vendors, and other company divisions?
• Are there procedures for identifying material needs, lead times, and delivery schedules? How are these integrated into the production planning effort?
• What criteria are used to determine the capability/capacity of subcontractors and critical vendors/suppliers?
• Identify the major/critical subcontractors/vendors for this program.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 Review tracking of supplier performance metrics by senior management. Is the tracking reviewed regularly at the appropriate management level? Have any non-conformances or late deliveries been followed up on at the root cause/ corrective action level?
• The key to proper assessment of suppliers is not the set of audit questions; it is the conduct of the audit itself and the follow up actions.
• Review risk mitigation plans. Are the mitigation actions sufficient to mitigate documented risks? Is there a feedback loop to ensure mitigation actions are completed?
• High-risk suppliers need to be managed differently than less risky suppliers.</t>
  </si>
  <si>
    <t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 Program supply chain list
• Supply chain stable with appropriate contracts/Purchase Orders (POs)
Questions (MRL Criteria in the form of a question):
1. Has the supply chain been proven in production and supports FRP?
2. Is the supply chain monitored with predictive indicators in place?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FRP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t>
  </si>
  <si>
    <t xml:space="preserve">Purpose: 
To design and fabricate at the component level and determine cost, schedule and performance suitability.  A secondary goal is not to have to address Environment, Safety, and Health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  Special handling requirement gaps documented 
•  Documentation for special handling procedures applied in a production-relevant environment
•  Documentation for new special handling processes has been demonstrated in lab environment
Questions (MRL Criteria in the form of a question):
1.  Have Environmental, Safety, and Health (ESH) requirements been applied in the production-relevant environment?
2.  Have special handling procedures been applied in the production-relevant environment? 
3.  Have special handling requirement gaps including security both physical and cyber been identified?
4.  Have new special handling processes been demonstrated in lab environment? 
Additional Considerations:
•  Special handling requirements may also include product movement in the factory or shipping between suppliers and the prime due to size and/or weight, cleanliness, and fragility.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t>
  </si>
  <si>
    <t xml:space="preserve">Purpose: 
To design, fabricate, assemble and integrate at the sub-system level and determine cost, schedule and performance suitability.  A secondary goal for this sub-thread is not to have to address Environment, Safety, and Health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  Special handling procedures documented – Technical Data, Work Instructions, etc.
•  Special handling requirement procedures plan/documentation
Questions (MRL Criteria in the form of a question):
1.  Have ESH requirements been addressed and documented?
2Have special handling procedures including security, both physical and cyber, been demonstrated in a production relevant environment?
3.  Are the plans to address the special handling requirement gaps, risks, and issues complete?
4.  Has manufacturing been assessed for material storage and waste handling risks?
Additional Considerations:
•  Special handling requirements may also include product movement in the factory or shipping between suppliers and the prime due to size and/or weight, cleanliness, and fragility.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t>
  </si>
  <si>
    <t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 Special handling procedures applied in a production-representative environment 
• Special handling procedures developed and annotated on work instructions
Questions (MRL Criteria in the form of a question):
1. Has ESH compliance been demonstrated in a production-representative environment?
2. Have special handling procedures including security, both physical and cyber, been applied in a production representative environment?
3. Have special handling procedures been developed and annotated on the work instructions to be used for the pilot line?
4. Is there a hazardous material storage and disposal plan in place for the pilot line?
Additional Considerations:
• Special handling requirements may also include product movement in the factory or shipping between suppliers and the prime due to size and/or weight, cleanliness, and fragility.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 Designing out hazardous material or material that needs special attention pays off.  It costs eighty dollars or more to handle, treat and dispose of hazardous material for every one dollar spent to purchase the material!
</t>
  </si>
  <si>
    <t>ESH compliance demonstrated in production-representative ...</t>
  </si>
  <si>
    <t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 Special handling procedures documented and applied in a pilot line environment – Technical Data, Work Instructions, etc.
• Special handling procedures demonstrated in Engineering and Manufacturing Development (EMD) or technology insertion programs
• Special handling risk issues documented and minimized for LRIP
• All work instructions contain special handling provisions as required
Questions (MRL Criteria in the form of a question):
1. Has ESH compliance been demonstrated during pilot line production?
2. Have special handling procedures including security, physical and cyber, been applied in a pilot line environment?
3. Have special handling procedures been demonstrated in Engineering and Manufacturing Development (EMD) or technology insertion programs?    
4. Have the special handling risks and issues been managed for LRIP?
5. Do all work instructions contain required special handling provisions?
6. Have hazardous material storage and disposal plans for LRIP been evaluated?
7. Are hazardous material storage and disposal plans in place for LRIP?
Additional Considerations:
• Special handling requirements may also include product movement in the factory or shipping between suppliers and the prime due to size and/or weight, cleanliness, and fragility.
Lessons Learned: 
• NEPA planning and the need for community awareness and time to assess impacts could add 6 months or more to a program.  Ensure time is scheduled for these activities.
•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 Designing out hazardous material or material that needs special attention pays off.  It costs eighty dollars or more to handle, treat and dispose of hazardous material for every one dollar spent to purchase the material!  </t>
  </si>
  <si>
    <t>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 Special handling procedures documented – Technical Data, Work Instructions, etc.
• Special handling requirement procedures plan/documentation
• Special handling risk issues identified and minimized
Questions (MRL Criteria in the form of a question):
1. Has ESH compliance been demonstrated in LRIP?
2. Have special handling procedures, including security, physical and cyber, been demonstrated in a LRIP environment? 
3. Have hazardous material storage and disposal procedures been demonstrated during LRIP?
4. Are risks and issues from special handling and hazardous materials storage and disposal managed for FRP?
Additional Considerations:
• Special handling requirements may also include product movement in the factory or shipping between suppliers and the prime due to size and/or weight, cleanliness, and fragility.
Lessons Learned: 
• Monitor compliance.</t>
  </si>
  <si>
    <t>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 Special handling procedures documented – Technical Data, Work Instructions, etc.
• Special handling requirement procedures plan/documentation
Questions (MRL Criteria in the form of a question):
1. Has ESH compliance been demonstrated in FRP?
2. Have the special handling procedures, including security, physical and cyber, been effectively implemented in FRP?  
3. Have the hazardous material storage and disposal procedures been effectively implemented in FRP?  
Additional Considerations:
• Special handling requirements may also include product movement in the factory or shipping between suppliers and the prime due to size and/or weight, cleanliness, and fragility.
Lessons Learned: 
• Continue to monitor risks and continuously improve.</t>
  </si>
  <si>
    <t>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  Simulation models developed at the component level
Questions (MRL Criteria in the form of a question):
1.  Have the initial modeling &amp; simulation (product or process) been developed at the component level?
2. Have the initial modeling &amp; simulation (product or process) been used to determine constraints?
Additional Considerations:  
•  Do process flow charts accurately capture all critical process operations?
•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
Lessons Learned: 
•  Value Stream Maps are a useful tool to understand manufacturing constraints.
•  The simulation model needs to incorporate actual build data as soon as possible.</t>
  </si>
  <si>
    <t>Purpose:  
To demonstrate process capability in a production-representative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 Manufacturing processes successfully demonstrated in a production-representative environment 
• Collecting or estimating process capability data is continuing
Questions (MRL Criteria in the form of a question):
1. Have the manufacturing processes been demonstrated in a production-representative environment?
2. Is collection and/or estimation of process capability data (i.e., from lower level subsystems, items, and components) ongoing?
3. Are refinements of process capability requirements ongoing?
4. Is collected process capability data and refinements being used to shape process improvement plans?
Additional Considerations:  
• What impact will design changes have on process capability if different or changed processes are required?
• Taguchi Design of Experiments (DOE) is an effective approach to control process variability.
Lessons Learned: 
• Continually assess demonstrated process capability as more data becomes available, and compare it to production requirements.</t>
  </si>
  <si>
    <t>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 Yields and rates and targets achieved in FRP
• Yield improvement plans documented
Questions (MRL Criteria in the form of a question):
1. Have the requirements for FRP yields and rates been met?
2. Are yield and/or rate improvements on-going?
Additional Considerations:  
• None
Lessons Learned: 
• Continually update yield and rate targets as more data becomes available and use the data to make continuous process improvements.</t>
  </si>
  <si>
    <t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  Key Characteristic management policy/procedure documented
•  Acceptance test procedures and in-process and final inspections documentation
Questions (MRL Criteria in the form of a question):
1.  Has an approach for management of Key Characteristics been defined?  
2.  Have initial acceptance test requirements and procedures for EMD units been identified?
3.  Have roles and responsibilities in-process and final inspections been identified?
4.  Have appropriate inspection and acceptance test procedures been identified for prototype units?
5. Have initial requirements for in-process inspection, acceptance test procedures, and final inspection requirements for EMD units been identified? 
Additional Considerations:
•  Have product quality risks been identified?
•  Is the risk management plan for those risks acceptable (within the scope of the current contract)?
•  Were the prototype systems built and inspected in a production-relevant environment?
•  What constitutes a relevant environment for your product (system)?
Lessons Learned: 
•  A production-relevant environment is different for different products and is often dependent on rates and quantities of items being produced and the complexity of those items.  For example, a production-relevant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 down from Key Performance Parameters (KPPs) to Key Characteristics and then to the use of SPC, if appropriate.
</t>
  </si>
  <si>
    <t xml:space="preserve">Purpose: 
To identify and mitigate technical risks.  To collect quality data in a production-representative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 Quality data from the production-representative environment collected 
• Quality data analyzed and the results used to shape improvement plans
• Key Characteristic control plans completed
• Test and Inspection Plans developed for EMD units   
Questions (MRL Criteria in the form of a question):
1. Has quality data from the production-representative environment been collected and analyzed? 
2. Have the results of the analysis of production-representative quality data been used to shape improvement plans? 
3. Have initial control plans for the management of KCs been developed?
4. Has development of Test and Inspection Plans for EMD units been initiated?
Additional Considerations:
• Have product quality targets been established?
• Do product quality program requirements meet industry standards (control of non-conforming material, corrective action, product handling and storage, inspection records, etc.)?
Lessons Learned: 
• A production-representative environment is different for different products and is often dependent on rates and quantities of items being produced and the complexity of those items.  For example, a production-relevant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flow-down from Key Performance Parameters (KPPs) to Key Characteristics and then to the use of SPC, if appropriate.
• Manufacturing and QA personnel should be involved in the CDR and in any follow-up activities.
</t>
  </si>
  <si>
    <t>Quality data from the production-representative ...</t>
  </si>
  <si>
    <t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 Key Characteristics managed with measurement procedures and controls in place (e.g. SPC, FRACAS, audits, customer satisfaction, etc.)
• Pilot line data meets capability requirements for all Key Characteristics 
• Test and Inspection Plans complete and validated for production units   
Questions (MRL Criteria in the form of a question):
1. Are Key Characteristics being actively managed? 
2. Are measurement procedures and controls in place, such as Statistical Process Controls; a Failure, Reporting, Analysis, and Corrective Action System, quality audits, customer satisfaction monitoring, etc.? 
3. Does pilot line data show KCs are attainable for all KCs?
4. Are all Test and Inspection Plans complete?
5. Have all Test and Inspection Plans for LRIP units been validated?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Have quality risks and adequate metrics been identified?
• Have quality targets been demonstrated on the pilot line?
• Is continuous quality improvement on-going?
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Some programs are so low volume that their “FRP” may be only one or two items (e.g., space programs) in which case, the pilot line becomes, in essence, the FRP line. Also, because of LRIP, there may not be sufficient data to do a formal yield plot for key characteristics.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FRACAS reports can be a valuable source of information indicating potential process issues (inconsistent or variable processes impact product reliability).
• Look for Pareto charts of major defects uncovered during inspection to identify process problems.  </t>
  </si>
  <si>
    <t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  Documentation for potential supply base quality capabilities and risks identified, to include subtier quality management 
•   AS includes defined and documented supplier quality management system requirements
Questions (MRL Criteria in the form of a question):
1. Have potential supplier quality risks and issues been identified for the preferred materiel solution, including sub-tier suppliers? 
2. Have supplier quality management system requirements been defined and documented in the AS? 
Additional Considerations:  
• Do the suppliers’ quality systems appropriately reflect the industry sector of the item developed and being produced?
• Does the suppliers’ quality strategy appropriately reflect the rates/quantities of items estimated to be produced?
• Is the supplier quality strategy a “best practice?”
Lessons Learned: 
•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t>
  </si>
  <si>
    <t>Potential supply chain quality capabilities and risks identified, including sub-tier supplier quality management.</t>
  </si>
  <si>
    <t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  Documentation for supply base quality capabilities and risks, to include subtier quality management 
Questions (MRL Criteria in the form of a question):
1.  Have potential supply chain quality capability and risks been identified?
2.  Were the quality capabilities and risks from sub-tier supplier quality management also identified?
Additional Considerations:  
•  Were the supplier prototype items built and inspected in a production-relevant environment?
•  What constitutes a relevant environment for your supplier?
Lessons Learned: 
•  A production-relevant environment is different for different products and is often dependent on rates and quantities of items being produced and the complexity of those items.  Supplier quality systems must be validated to ensure they are using production-relevant processes.
•  Many suppliers do not understand the concept of “key characteristics” and often do not identify them during the design process, and thus they do not know what feature or quality characteristic is most important to control. 
•  Programs have been shut down because of supplier QA issues.
</t>
  </si>
  <si>
    <t xml:space="preserve">Purpose:  
To address supplier quality system issues/concerns building prototype items in a production-relevant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  Supply base quality improvement initiatives documentation
Questions (MRL Criteria in the form of a question):
1.  Have supply chain management initiatives to address shortfalls in supplier Quality Management Systems been identified?
2.  Have supply chain management initiatives to address shortfalls in sub-tier supplier quality management been identified?
Additional Considerations:  
•  Have supplier product quality risks been identified?
•  Is the risk management plan for supplier risks acceptable (within the scope of the current contract)?
•  Were supplier prototype systems built and inspected in a production-relevant environment?
•  What constitutes a relevant environment for your supplier?
Lessons Learned: 
•  A production-relevant environment is different for different products and is often dependent on rates and quantities of items being produced and the complexity of those items.  Supplier quality systems must be validated to ensure they are using production-relevant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 down to suppliers from Key Performance Parameters (KPPs) to Key Characteristics and then to the use of SPC, if appropriate. 
•  Per Quality Management Systems requirements (e.g., AS9100), the Quality Manager is to report to the ‘Executive Level’ within companies.
</t>
  </si>
  <si>
    <t xml:space="preserve">Purpose:  
To focus on key suppliers and ensure they are using appropriate QMS. To use the data generated from building units in a production-representative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 Supplier Quality Management Systems meet appropriate industry standards 
• Supplier quality data from production-representative units has been collected and analyzed 
• Strategy outlined for audits of critical supplier processes
Questions (MRL Criteria in the form of a question):
1. Do key supplier Quality Management Systems (QMSs) meet appropriate industry standards?
2. Has supplier provided quality data from production-representative units been collected and analyzed?
3. Has a strategy for audits of critical supplier processes been outlined?
Additional Considerations:  
• Have supplier product quality targets been established?
• Do supplier quality program requirements meet industry standards (control of non-conforming material, corrective action, product handling and storage, inspection records, etc.)?
Lessons Learned: 
• A production-representative environment is different for different products and is often dependent on rates and quantities of items being produced and the complexity of those items.  Supplier quality systems must be validated to ensure they are using production-representative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flow-down to suppliers from Key Performance Parameters (KPPs) to Key Characteristics and then to the use of SPC, if appropriate.
•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 The prime contractor needs a system in place to ensure that appropriate quality requirements get flowed down to suppliers through the entire Work Breakdown Structure (WBS). 
• Per Quality Management Systems requirements (e.g., AS9100), the Quality Manager is to report to the ‘Executive Level’ within companies.
</t>
  </si>
  <si>
    <t>Key supplier QMS meet appropriate ...</t>
  </si>
  <si>
    <t xml:space="preserve">Purpose: 
To evaluate workforce skills by building prototypes in a production-relevant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  Manufacturing workforce skills documented – employee &amp; personnel training records
•  Manufacturing workforce resource plan – employee &amp; personnel training records
Questions (MRL Criteria in the form of a question):
1.  Are the required manufacturing workforce skills available for the production-relevant environment?
2.  Have the number of workers and skill sets for pilot line and production been identified? 
3.  Have the initial plans to achieve the pilot line and production requirements been developed? 
Additional Considerations:
•  Do existing personnel have similar skills to those required and/or can they be cost-effectively cross trained?
Lessons Learned: 
•  You must work with the contractor/ supplier to identify what skills are required on a pilot line for your program. 
•  Examine work effort that will migrate from labs and prototype areas to the factory floor, specifically new skills needed versus what are available.
•  Ensure plans address the skills needed by factory floor personnel are adequate to demonstrate a pilot line in the next phase. 
•  One problem seen in entering EMD is that you may have been able to produce development units with highly skilled technicians, but your manpower skills are insufficient in a production environment.
</t>
  </si>
  <si>
    <t xml:space="preserve">Purpose: 
To understand the risk of obtaining workforce skills to meet production requirements. To understand the magnitude of this risk, you must build development units in a production-representative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 Manufacturing workforce resource requirements identified for the pilot line 
• Plans developed to achieve pilot line requirements 
• Plans updated to achieve LRIP workforce requirements
• Pilot line workforce trained in the production-representative environment – employee &amp; personnel training records
Questions (MRL Criteria in the form of a question):
1. Have the manufacturing workforce resources required for pilot line (i.e., number of personnel and skill sets) been identified?
2. Have the plans to achieve the manufacturing workforce resources required for pilot line (i.e., number of personnel and skill sets) been identified? 
3. Have the plans to achieve the manufacturing workforce resources required for LRIP been updated?
4. Has the pilot line workforce been trained in the production-representative environment?
Additional Considerations:
• Do existing personnel have similar skills to those required and/or can they be cost-effectively cross trained?
• Does personnel turnover and/or retention affect the ability to have adequate capabilities available?
• Is new personnel training adequate to provide the necessary skills?
Lessons Learned: 
• You must work with the contractor/ supplier to identify what represents a pilot line for your program. 
• A key area to look at in this phase is work effort that will migrate from labs and prototype areas to the factory floor from TMRR to EMD, specifically what new skills are needed versus what are available.
• Ensure plans that address the skills needed by factory floor personnel are adequate to demonstrate a pilot line. 
• Retirement of an aging workforce can affect the availability of critical skills.
•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
</t>
  </si>
  <si>
    <t xml:space="preserve">Purpose:  
To demonstrate the production tooling and test equipment by building early EMD units in a production-representative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  Production tooling and STE/SIE design and development efforts underway
•  Manufacturing equipment maintenance strategy developed
Questions (MRL Criteria in the form of a question):
1. Have design and development efforts for production tooling, Special Test Equipment, and/or Special Inspection Equipment been initiated?
2. Are Special Test Equipment, and/or Special Inspection Equipment validation plans complete?
3. Has a manufacturing equipment maintenance strategy including tooling, Special Test Equipment, and/or Special Inspection Equipment been developed? 
Additional Considerations:  
•  Is there a documented record of calibration and certification of STE/SIE?
Lessons Learned: 
•  The monitoring of the design, development and use of the tooling and test equipment needs to be accomplished because this equipment can be major cost and risk drivers. 
•  Making sure the contractor has a maintenance strategy is important to ensure good product, and this area typically does not get addressed until there is a problem.
•  Metrology of tooling and STE/SIE is especially critical for precision hardware, since it must be recalibrated and recertified at regular intervals.
•  Tooling and test equipment are especially prone to DMSMS issues
</t>
  </si>
  <si>
    <t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  Manufacturing plan
•  Plan for producing the pilot line build
•  Shop floor ESH plans
Questions (MRL Criteria in the form of a question):
1. Have manufacturing facilities that meet requirements for pilot line been identified?
2.  Have plans for building pilot line in identified facilities been developed?
3.  Have requirements for human factors and ergonomics for manufacturing personnel, processes, and equipment been verified in a production-relevant environment?
4. Have safety requirements for manufacturing personnel, processes, and equipment been verified in a production-relevant  environment?
Additional Considerations: 
•  Has the budget been approved for required facilities, test equipment and tooling?
Lessons Learned: 
•  In the past we have not adequately assessed facility requirements for demonstrating production early enough in the acquisition process.  This has resulted in extending the EMD phase and/or adding significant risk as we transition into production.
</t>
  </si>
  <si>
    <t xml:space="preserve">Purpose:
MRL 9 occurs in the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Sources of Information:  
This data should come from cost estimating, design and manufacturing departments.
Examples of ‘Objective Evidence’:
• Cost model information
Questions (MRL Criteria in the form of a question):
1. Has the FRP cost model been updated with the result of the Low 
Rate LRIP build?  
Additional Considerations:  
• None
Lessons Learned: 
• The key is to continually update your cost models as more data becomes available.
</t>
  </si>
  <si>
    <t>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 Program supply chain documented and adequate to support LRIP
• Assessment of the critical second and lower tier supply chain completed 
• A robust and disciplined requirements flow-down process verified and in place 
• Plan for predictive indicators updated for use in production 
• Supplier compliance with program requirements and changes validated 
• Supply chain policies/procedures and contracts/Purchase Orders (POs)
Questions (MRL Criteria in the form of a question):
1. Has an assessment, including capability and capacity, of second and lower tier suppliers whose performance could seriously jeopardize the successful achievement of a program’s cost, schedule, technical, or supportability requirements been completed?
2. Does the assessment show that suppliers are available in the current supply chain?
3. Is multi-source in place where cost-effective or necessary to mitigate risks?
4. Are robust flow-down processes for requirements in place?
5. Have the requirements flow-down processes been verified?
6. Has compliance with flowed-down requirements and any flowed-down changes been validated throughout the supply chain?
7. Has the plan been updated for use of predictive indicators during production?
8. Does the supply chain management system indicate that the supply chain is adequate, sufficient, and ready to support LRIP?
Additional Considerations:
• Has an adequate assessment of the first tier supply chain been completed?
• Is management aware of supplier performance metrics and ready to take action if needed?
• How are “high risk” suppliers managed? Is it different than less risky suppliers?
• Has the prime contractor flowed down the DPAS priority ratings to subcontractors and assured that the requirement has been passed on to lower tier vendors/suppliers? To other company divisions?
• Does the contractor have an adequate process in place to identify and ensure program requirements are properly flowed down to supplier/subcontractors?
• Does the prime contractor have a system that adequately controls subcontractors, vendors, and other company divisions?
• Are there procedures for identifying material needs, lead times, and delivery schedules? How are these integrated into the production planning effort?
• What criteria are used to determine the capability/capacity of subcontractors and critical vendors/suppliers?
• Identify the major/critical subcontractors/vendors for this program.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Prime contractor, generally, has limited controls over other company divisions 
• Look for a feedback loop to indicate that flow-down requirements are understood and verified. It is NOT sufficient for prime to communicate requirements without confirming understanding and acceptance.
• Implementing a proactive and robust requirements flow-down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</si>
  <si>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 Supplier program-specific Quality Management Systems documented
• Supplier products have completed qualification testing 
• Supplier products have completed first article inspection (FAI) 
• Acceptance testing of supplier products documented and adequate to begin LRIP 
• Plan for subcontractor process audits in place and being implemented by prime contractor
Questions (MRL Criteria in the form of a question):
1. Are supplier program-specific Quality Management Systems (QMSs) adequate (i.e., meet all quality requirements)?
2. Is qualification testing for all products from suppliers completed?
3. Are all First Article Inspections (FAIs) for all products from suppliers completed?
4. Is acceptance testing of supplier products (i.e., processes and throughput) adequate to begin LRIP?
5. Are plans to conduct quality audits of subcontractor processes in place? 
6. Have quality audits of subcontractor processes been implemented?
Additional Considerations:  
• What supplier quality targets are in place, and what is your status in achieving these targets?
• Does quality data from supplier production-representative and pilot line units provide confidence in the QMS which will be used on this program?
• Are measurement procedures and controls in place (e.g. SPC, FRACAS, audits, customer satisfaction, etc.)?
• Is supplier non-conforming material properly identified and corrective actions taken?
• Are supplier product quality records are available and meet appropriate requirements?
• Have quality risks and adequate metrics been identified?
• Have quality targets been demonstrated on the pilot line?
• Is continuous quality improvement on-going at the supplier?
Lessons Learned: 
• A pilot line environment is different for different products which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Supplier FRACAS reports can be a valuable source of information indicating potential process issues (inconsistent or variable processes impact product reliability).
• Look for supplier Pareto charts of major defects uncovered during inspection to identify process problems.</t>
  </si>
  <si>
    <t>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 Manufacturing workforce skills documented – employee &amp; personnel training records
• Manufacturing workforce resources requirements identified for LRIP
• Plans developed to achieve LRIP requirements 
• Plans updated to achieve FRP
• LRIP personnel trained on the pilot line where possible
Questions (MRL Criteria in the form of a question):
1. Have the manufacturing workforce resources required to achieve LRIP requirements (i.e., number of personnel and skill sets) been identified?
2. Have the plans to achieve the manufacturing workforce resources required to achieve LRIP requirements been developed?
3. Have production personnel been trained on the pilot line where possible?
4. Based on pilot line results, have the plans to achieve the manufacturing workforce resources required for FRP requirements been initiated? 
Additional Considerations:
• Place special emphasis on any new skills being required on the factory floor.
• Does personnel turnover and/or retention affect the ability to have adequate capabilities available?
• Is new personnel training adequate to provide the necessary skills?
• If there is no pilot line, it may not be possible to train personnel on that pilot line.
Lessons Learned: 
• One of the important steps for achieving this requirement is to work with the contractor/ supplier on what represents a pilot line for your programs. 
• Retirement of an aging workforce can affect the availability of critical skills.
• You must place special emphasis on getting factory personnel to produce the EMD hardware as much as possible and understand the risk as you migrate to production. Ensure unique skills required in production are reflected in cost and schedule risk assessments.</t>
  </si>
  <si>
    <t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Adaptive Acquisition Framework. The policy established maturity criteria for measuring risks associated with manufacturing processes for Milestones B.
Sources of Information:
This data should come from engineering and manufacturing departments.
Examples of ‘Objective Evidence’:
•  Documented technology development part list 
•  Documented make/buy evaluations 
•  Make/buy evaluations include production considerations reflecting the pilot line, LRIP, and FRP needs 
•  Lead times and other risks identified and documented
Questions (MRL Criteria in the form of a question):
1.  Have make or buy evaluations been initiated?
2.  Do the make or buy evaluations include requirements and considerations for pilot line, LRIP, and rate production (FRP)? 
3.  Have lead times and other materials risks and issues been identified?
Additional Considerations:
•  Have you checked GIDEP alerts for obsolete or DMSMS materials?
Lessons Learned:
•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
  </si>
  <si>
    <t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  Make/Buy decisions and Bill of Materials (BOM) are complete to support LRIP 
•  Material planning systems proven on the pilot line and are in place for LRIP build 
•  Manufacturing Maturation Plans (MMPs)
•  BOM documentation
Questions (MRL Criteria in the form of a question):
1.  Based on the pilot line, are there any changes to the make or buy decisions for LRIP?  
2.  Based on pilot line, are there any changes to the Bill of Materials for LRIP?  
3.  Have material planning systems (i.e., MRP II, ERP, etc.) been proven on the pilot line and are ready for LRIP build?
Additional Considerations:
•  What parts do we need to make or buy (Purchasing Plan)? 
•  How many of these parts do we need (Capacity Plan)? 
•  When must these parts be available (Detailed Manufacturing Schedule)? 
•  Have you continued to check GIDEP and other predictive tool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  The MRP system should be in place for the Pilot Line build.
Lessons Learned:
•  The Make/Buy decisions and BOM should be complete.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Pilot Line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
</t>
  </si>
  <si>
    <t>Is the Technology Readiness at TRL 8 or greater?</t>
  </si>
  <si>
    <t>Are industrial base considerations included in AoA?</t>
  </si>
  <si>
    <t>Are industrial base capability risks and issues documented in the Acquisition Strategy?</t>
  </si>
  <si>
    <t>Has an industrial base analysis been initiated to identify potential manufacturing sources?</t>
  </si>
  <si>
    <t>Has planning been initiated to minimize risks from sole/single/ Foreign Owned, Controlled, or Influenced sources?</t>
  </si>
  <si>
    <t>Is the industrial base analysis that includes capacities and capabilities in support of the Milestone (MS) B decision complete?</t>
  </si>
  <si>
    <t>Are the plans to minimize (avoid) sole, single, and/or Foreign Owned, Controlled, or Influenced Industrial Base sources complete?</t>
  </si>
  <si>
    <t>Has the justification of sole, single, and/or Foreign Owned, Controlled, or Influenced Industrial Base sources been completed?</t>
  </si>
  <si>
    <t>Has the industrial base capacity and capability to support production been analyzed?</t>
  </si>
  <si>
    <t>Have all justified sole, single, and Foreign Owned, Controlled, or Influenced sources been assessed?</t>
  </si>
  <si>
    <t>Is the stability of all sole, single, and Foreign Owned, Controlled, or Influenced sources being monitored?</t>
  </si>
  <si>
    <t>Is an the analysis of industrial base capacities and capabilities to support the Milestone C decision completed?</t>
  </si>
  <si>
    <t>Does analysis show that industrial capabilities are in place to support LRIP?</t>
  </si>
  <si>
    <t>Has the analysis of industrial base capacities and capabilities to support the FRP decision been completed?</t>
  </si>
  <si>
    <t>Does the industrial base analysis for capacity and capability show support for FRP?</t>
  </si>
  <si>
    <t>Have global trends in manufacturing science and technology been identified (i.e., concepts, capabilities)?</t>
  </si>
  <si>
    <t>Have potential manufacturing science and technology gaps been identified?</t>
  </si>
  <si>
    <t>Have Manufacturing technology requirements been identified to address potential capability gaps for system concepts?</t>
  </si>
  <si>
    <t>Have the required manufacturing technology development efforts been initiated?</t>
  </si>
  <si>
    <t>Are the manufacturing technology development efforts underway and continuing?</t>
  </si>
  <si>
    <t>Have the required manufacturing technology development solutions been demonstrated in a production-relevant environment?</t>
  </si>
  <si>
    <t>Have the required manufacturing technology development solutions been successfully demonstrated in a production-representative environment?</t>
  </si>
  <si>
    <t>Have elements been identified which have a potential impact to producibility (i.e., materials, processes, capabilities, limitations)?</t>
  </si>
  <si>
    <t>Have manufacturing processes been re-assessed as needed for potential influence on the Operations and Support phase?</t>
  </si>
  <si>
    <t>Are all known producibility risks and issues being managed for LRIP?</t>
  </si>
  <si>
    <t>Have prior producibility enhancement efforts (improvements) been analyzed for effectiveness during LRIP?</t>
  </si>
  <si>
    <t>Have design producibility improvements been demonstrated in FRP?</t>
  </si>
  <si>
    <t>Are all modifications, upgrades, Diminishing Manufacturing Sources &amp; Material Shortages mitigation efforts and other changes being assessed for producibility?</t>
  </si>
  <si>
    <t>Have high level performance, lifecycle, and technical requirements been defined?</t>
  </si>
  <si>
    <t>Have high level performance, lifecycle, and technical requirements been evaluated for system concepts?</t>
  </si>
  <si>
    <t>Has the product data required to manufacture prototypes at the components level been released?</t>
  </si>
  <si>
    <t>Has the required product data essential for manufacture of prototypes at the subsystem and/or the system level been released?</t>
  </si>
  <si>
    <t>Have all enabling and/or critical products at the component level been prototyped?</t>
  </si>
  <si>
    <t>Are mitigation plans in place for identified Key Characteristic (KC) risks and issues?</t>
  </si>
  <si>
    <t>Does the design change traffic significantly impact LRIP?</t>
  </si>
  <si>
    <t>Are the end-to-end cost models driven by results of simulations or by results of producing prototype components in a production- relevant environment?</t>
  </si>
  <si>
    <t>Does the cost model include materials, labor, equipment, tooling, special test equipment, special inspection equipment, setup, yield, scrap, rework, Work-in-Progress, and capability and/or capacity constraints?</t>
  </si>
  <si>
    <t>In addition to prior elements, does the updated cost model include the results of systems and/or sub-systems produced in a production-representative environment, the production plant layout and design, and solutions to obsolescence risks and issues?</t>
  </si>
  <si>
    <t>Has the FRP cost model been updated with the result of the LRIP build?</t>
  </si>
  <si>
    <t>Has the cost model been validated against actual FRP cost?</t>
  </si>
  <si>
    <t>Have costs been analyzed using component level prototype actuals costs with the intent to ensure achievability of target costs?</t>
  </si>
  <si>
    <t>Have costs been analyzed using system and/or subsystem level prototype actuals with the intent to ensure achievability of target costs?</t>
  </si>
  <si>
    <t>Have LRIP cost goals been met?</t>
  </si>
  <si>
    <t>Have FRP cost goals been met?</t>
  </si>
  <si>
    <t>Are all outstanding MRL 4 risk areas understood with approved mitigation plan funding in place?</t>
  </si>
  <si>
    <t>Does the program have an updated manufacturing budget estimate for reaching MRL 6 for PDR (by Milestone B)?</t>
  </si>
  <si>
    <t>Are all outstanding MRL 5 risks and issues understood with approved mitigation plan funding in place?</t>
  </si>
  <si>
    <t>Does the program have a reasonable manufacturing budget estimate for reaching MRL 8 for LRIP (by Milestone C)?</t>
  </si>
  <si>
    <t>Are all outstanding MRL 6 risks and issues understood with approved mitigation plan funding in place?</t>
  </si>
  <si>
    <t>Does the program have an updated manufacturing budget estimate for reaching MRL 8 for LRIP (by Milestone C)?</t>
  </si>
  <si>
    <t>Are all outstanding MRL 7 risks and issues understood with approved mitigation plan funding in place?</t>
  </si>
  <si>
    <t>Does the program have a reasonable manufacturing budget estimate for reaching MRL 9 by the FRP decision point?</t>
  </si>
  <si>
    <t>Does the manufacturing budget estimate include investments for LRIP and FRP?</t>
  </si>
  <si>
    <t>Are all outstanding MRL 8 risks and issues understood with approved mitigation plan funding in place?</t>
  </si>
  <si>
    <t>Does the program have a reasonable manufacturing budget estimate for FRP?</t>
  </si>
  <si>
    <t>Are all outstanding MRL 9 risks and issues understood with approved mitigation plan funding in place?</t>
  </si>
  <si>
    <t>Have all materials been manufactured or produced in a prototype environment (e.g., production-relevant )?</t>
  </si>
  <si>
    <t>Have the materials been proven and validated during Engineering and Manufacturing Development (EMD) as adequate to support LRIP?</t>
  </si>
  <si>
    <t>Are all materials meeting specifications during FRP?</t>
  </si>
  <si>
    <t>Have material availability risks and issues including DMSMS for the preferred materiel solution been considered in AoA?</t>
  </si>
  <si>
    <t>Have all materials been analyzed for DMSMS risks and issues?</t>
  </si>
  <si>
    <t>Have materials, items, components, etc. been identified which require a long-lead time to obtain?</t>
  </si>
  <si>
    <t>Have material availability risks and issues been addressed to meet LRIP builds?</t>
  </si>
  <si>
    <t>Have materials, items, components, etc. which require a long-lead time been identified and mitigated for LRIP?</t>
  </si>
  <si>
    <t>Are mitigation strategies in place for materials, items, components, etc. that are identified as at risk from DMSMS during the product life cycle?</t>
  </si>
  <si>
    <t>Are all materials availability risks and issues being managed (i.e., mitigations plans being executed) for LRIP?</t>
  </si>
  <si>
    <t>Have procurements for all long lead materials been initiated for LRIP?</t>
  </si>
  <si>
    <t>Are mitigation efforts to address DMSMS ongoing?</t>
  </si>
  <si>
    <t>Have long lead procurements been initiated for FRP?</t>
  </si>
  <si>
    <t>Are mitigation efforts to address Diminishing Manufacturing Sources and Material Shortages (DMSMS) ongoing?</t>
  </si>
  <si>
    <t>Have potential suppliers been identified and evaluated as able to support prototype build?</t>
  </si>
  <si>
    <t>Have sole/single/Foreign Owned, Controlled, or Influenced suppliers been identified in the supply chain?</t>
  </si>
  <si>
    <t>Have suppliers with potential obsolescence issues identified?</t>
  </si>
  <si>
    <t>Has planning been initiated to minimize risks from the above identified supply chain members?</t>
  </si>
  <si>
    <t>Are plans to minimize supply chain obsolescence issues and sole, sole/single/Foreign Owned, Controlled, or Influenced suppliers complete?</t>
  </si>
  <si>
    <t>Has the need for the remaining sole/single/Foreign Owned, Controlled, or Influenced suppliers been justified?</t>
  </si>
  <si>
    <t>Have potential alternative suppliers been identified?</t>
  </si>
  <si>
    <t>Has an adequate assessment of the critical first tier supply chain been completed (i.e., capability, capacity, etc.)?</t>
  </si>
  <si>
    <t>Are suppliers with obsolescence issues being assessed and monitored?</t>
  </si>
  <si>
    <t>Is the supply chain assessed and monitored for supplier stability?</t>
  </si>
  <si>
    <t>Have potential alternated suppliers been developed?</t>
  </si>
  <si>
    <t>Does the assessment show that suppliers are available in the current supply chain?</t>
  </si>
  <si>
    <t>Is multi-sourcing in place where cost-effective or necessary to mitigate risks?</t>
  </si>
  <si>
    <t>Does the supply chain management system indicate that the supply chain is adequate, sufficient, and ready to support LRIP?</t>
  </si>
  <si>
    <t>Has the supply chain been proven in production and supports FRP?</t>
  </si>
  <si>
    <t>Is the supply chain monitored with predictive indicators in place?</t>
  </si>
  <si>
    <t>Have special handling requirement gaps including security both physical and cyber been identified?</t>
  </si>
  <si>
    <t>Have special handling procedures including security, both physical and cyber, been applied in a production-representative-environment?</t>
  </si>
  <si>
    <t>Have the special handling risks and issues been managed for LRIP?</t>
  </si>
  <si>
    <t>Have hazardous material storage and disposal procedures been demonstrated during LRIP?</t>
  </si>
  <si>
    <t>Are risks and issues from special handling and hazardous materials storage and disposal managed for FRP?</t>
  </si>
  <si>
    <t>Have the initial modeling &amp; simulation (product or process) been developed at the component level?</t>
  </si>
  <si>
    <t>Have the initial modeling &amp; simulation (product or process) been used to determine constraints?</t>
  </si>
  <si>
    <t>Have the initial modeling &amp; simulation been developed at the sub-system or system level?</t>
  </si>
  <si>
    <t>Do the results of pilot line modeling &amp; simulations demonstrate that LRIP requirements can be met?</t>
  </si>
  <si>
    <t>Have modeling &amp; simulations been verified by LRIP build?</t>
  </si>
  <si>
    <t>Are modeling &amp; simulations used to assist in the management of LRIP?</t>
  </si>
  <si>
    <t>Have modeling &amp; simulations been verified by FRP build?</t>
  </si>
  <si>
    <t>Are modeling &amp; simulations used to assist in the management of FRP?</t>
  </si>
  <si>
    <t>Have process capability requirements been identified for pilot line, LRIP and FRP?</t>
  </si>
  <si>
    <t>Have the manufacturing processes been demonstrated in a production-representative environment?</t>
  </si>
  <si>
    <t>Is collection and/or estimation of process capability data (i.e., from lower level sub-systems, items, and components) ongoing?</t>
  </si>
  <si>
    <t>Are refinements of process capability requirements ongoing?</t>
  </si>
  <si>
    <t>Is collected process capability data and refinements being used to shape process improvement plans?</t>
  </si>
  <si>
    <t>Have the manufacturing processes to be used for LRIP been verified on a pilot line?</t>
  </si>
  <si>
    <t>Are manufacturing processes stable, capable, and adequately controlled (i.e., meeting Cpks) for LRIP?</t>
  </si>
  <si>
    <t>Have variability experiments been conducted to show impacts from FRP?</t>
  </si>
  <si>
    <t>Have target yield and rates been established for the pilot line, LRIP, and FRP?</t>
  </si>
  <si>
    <t>Are the results of an evaluation of yields and rates from the pilot line being used to refine LRIP requirements?</t>
  </si>
  <si>
    <t>Have the LRIP yield and rate targets been achieved?</t>
  </si>
  <si>
    <t>Are the results of an evaluation of yields and rates from LRIP being used to refine rate production (FRP) requirements?</t>
  </si>
  <si>
    <t>Have the requirements for FRP yields and rates been met?</t>
  </si>
  <si>
    <t>Are yield and/or rate improvements on-going?</t>
  </si>
  <si>
    <t>Have quality targets been verified on the LRIP line?</t>
  </si>
  <si>
    <t>Have the previously established quality targets for FRP been verified by actual quality data?</t>
  </si>
  <si>
    <t>Have elements been identified which have a potential impact on quality (i.e., materials, processes, capabilities, limitations)?</t>
  </si>
  <si>
    <t>Have initial control plans for the management of KCs been developed?</t>
  </si>
  <si>
    <t>Does pilot line data show KCs are attainable for all KCs?</t>
  </si>
  <si>
    <t>Have all Test and Inspection Plans for LRIP units been validated?</t>
  </si>
  <si>
    <t>Does analysis of LRIP quality data show that all Key Characteristics, as well as other critical-to-quality manufacturing processes are capable and under control for FRP?</t>
  </si>
  <si>
    <t>Have potential supply chain quality capability and risks been identified?</t>
  </si>
  <si>
    <t>Have supply chain management initiatives to address shortfalls in supplier Quality Management Systems been identified?</t>
  </si>
  <si>
    <t>Have supply chain management initiatives to address shortfalls in subtier supplier quality management been identified?</t>
  </si>
  <si>
    <t>Has supplier provided quality data from production-representative units been collected and analyzed?</t>
  </si>
  <si>
    <t>Is acceptance testing of supplier products (i.e., processes and throughput) adequate to begin LRIP?</t>
  </si>
  <si>
    <t>Has the availability of the workforce for TMRR Phase been determined?</t>
  </si>
  <si>
    <t>Have the number of workers and skill sets for pilot line and production been identified?</t>
  </si>
  <si>
    <t>Have the initial plans to achieve the pilot line and production requirements been developed?</t>
  </si>
  <si>
    <t>Have the manufacturing workforce resources required for pilot line (i.e., number of personnel and skill sets) been identified?</t>
  </si>
  <si>
    <t>Have the plans to achieve the manufacturing workforce resources for LRIP requirements been updated?</t>
  </si>
  <si>
    <t>Have the manufacturing workforce resources required to achieve LRIP requirements (i.e., number of personnel and skill sets) been identified?</t>
  </si>
  <si>
    <t>Have the plans to achieve the manufacturing workforce resources required to achieve LRIP requirements been developed?</t>
  </si>
  <si>
    <t>Has all tooling, test, and inspection equipment (i.e., STE/SIE) been proven in the LRIP?</t>
  </si>
  <si>
    <t>Have additional tooling, test, and inspection equipment (i.e., STE/SIE) requirements been identified for FRP?</t>
  </si>
  <si>
    <t>Have maintenance process and procedures for manufacturing equipment (including tooling, Special Test Equipment, and/or Special Inspection Equipment) been demonstrated during LRIP?</t>
  </si>
  <si>
    <t>Has validation of Special Test Equipment, and/or Special Inspection Equipment (STE/SIE) been maintained during LRIP?</t>
  </si>
  <si>
    <t>Have manufacturing facilities been identified to produce the LRIP build?</t>
  </si>
  <si>
    <t>Have plans for the identified manufacturing facilities been developed to produce the LRIP build?</t>
  </si>
  <si>
    <t>Have requirements for human factors and ergonomics for manufacturing personnel, processes, and equipment been validated in a production-representative environment?</t>
  </si>
  <si>
    <t>Have safety requirements for manufacturing personnel, processes, and equipment been validated in a production-representative environment?</t>
  </si>
  <si>
    <t>Are manufacturing facilities adequate and ready to begin Low Rate Initial Production (LRIP</t>
  </si>
  <si>
    <t>Are plans in place to support manufacturing facilities transition to FRP?</t>
  </si>
  <si>
    <t>Are the production facilities in place to meet FRP requirements?</t>
  </si>
  <si>
    <t>Has the capacity of the production facilities been demonstrated to meet maximum FRP requirements?</t>
  </si>
  <si>
    <t>Have mitigation efforts concerning schedule risk of prototypes (i.e., testing and delivery schedules) been initiated?</t>
  </si>
  <si>
    <t>Has the manufacturing plan been updated for LRIP?</t>
  </si>
  <si>
    <t>Is an effective production control system in place to support LRIP?</t>
  </si>
  <si>
    <t>Has the manufacturing plan been updated for FRP?</t>
  </si>
  <si>
    <t>Is an effective production control system in place to support FRP?</t>
  </si>
  <si>
    <t>Have material planning systems (i.e., MRP II, ERP, etc.) been proven on the pilot line and are ready for LRIP build?</t>
  </si>
  <si>
    <t>Based on initial production, are there any changes to the make or buy decisions for FRP?</t>
  </si>
  <si>
    <t>Based on initial production, are there any changes to the Bill of Materials for FRP?</t>
  </si>
  <si>
    <t>Is the material planning systems (i.e., MRP II, ERP, etc.) sufficient for FRP?</t>
  </si>
  <si>
    <t>I.3 - Manufacturing OT Cybersecurity</t>
  </si>
  <si>
    <t>Have Operational Technology (OT) cybersecurity requirements for the system concept been identified?</t>
  </si>
  <si>
    <t>Have Operational Technology (OT) cybersecurity vulnerabilities of potential manufacturing facilities been identified?</t>
  </si>
  <si>
    <t>Have required OT Cybersecurity solutions been demonstrated in a production-relevant environment?</t>
  </si>
  <si>
    <t>Has the workforce been trained as appropriate in up-to-date cybersecurity procedures for production-relevant environment?</t>
  </si>
  <si>
    <t>Have required OT Cybersecurity solutions been demonstrated in a production-representative environment?</t>
  </si>
  <si>
    <t>Has the workforce been trained as appropriate in up-to-date cybersecurity procedures for production-representative environment?</t>
  </si>
  <si>
    <t>Are planning and documentation for LRIP facilities and equipment OT systems including cybersecurity and physical/ digital controls and access requirements complete?</t>
  </si>
  <si>
    <t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FRP,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Industrial base capabilities assessments
• Supplier management policy/procedure
• Industrial base capabilities assessment with Program Memo
Questions:
1. Has the analysis of industrial base capacities and capabilities to support the FRP decision been completed?
2. Is the industrial capability in place to support the start of FRP?
Additional Considerations: 
• Have all subcontractors/suppliers been identified? Are back-ups available for all critical items?
• Are Sole/Single/Foreign Owned, Controlled, or Influenced sources being monitored for stability?
• Are industrial capabilities and capacity adequate to support program needs?
• Have contingency program requirements been validated and documented?
• Are plans in effect to mitigate potential program schedule impacts?
• Has multi-sourcing been employed where possible?
• Have delivery schedules been demonstrated to support the FRP build?
• Have impacts of this acquisition program on the industrial base been analyzed?
• Does the industrial base capabilities assessment address environmental impacts?
• Does the industrial base capabilities assessment address potential program stretch-out and re-start challenges?
Lessons Learned: 
• One of the important steps for achieving this requirement is to work with the contractor/ supplier to define the supply chain/industrial base for the program, with particular emphasis on critical/pacing suppliers and long-lead items.  
•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industrial base capabilities assessment is often the best way to identify potential risks (such as changes environmental laws impacting the product/process) before they become problems.
• Fragility of the IB and criticality of critical components need to be considered in the industrial base capabilities assessment.
</t>
  </si>
  <si>
    <t>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FRP,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Industrial base capabilities assessment
• Supplier management documentation
• Industrial base capabilities assessment to support modifications, upgrades, surge, and other potential manufacturing requirements
Questions (MRL Criteria in the form of a question): 
1. Does the industrial base analysos for capability and capabilities are show support for FRP?
2. Does the industrial base analysis for capacity and capability show support for modifications, upgrades, surge quantities, and other potential manufacturing requirements? 
Additional Considerations: 
•  Have all subcontractors/suppliers been identified? Are back-ups available for all critical items?
•  Are Sole/Single/Foreign Owned, Controlled, or Influenced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industrial base capabilities assessment is often the best way to identify potential risks (such as changes environmental laws impacting the product/process) before they become problems.
• Fragility of the industrial base and criticality of critical components need to be considered in the industrial base capabilities assessment.</t>
  </si>
  <si>
    <t>Is the Technology Readiness at TRL 7 or greater?</t>
  </si>
  <si>
    <t>Have industrial base capabilities for potential sources been identified for system concepts?</t>
  </si>
  <si>
    <t>Have industrial base capacities and capabilities been surveyed for preferred materiel solution, key technologies, components, and/or key processes?</t>
  </si>
  <si>
    <t>Have sole/single/Foreign Owned, Controlled, or Influenced sources been identified?</t>
  </si>
  <si>
    <t>Does the industrial base analysis for capacity and capability show support for modifications, upgrades, surge quantities, and other potential manufacturing requirements?</t>
  </si>
  <si>
    <t>Are the primary manufacturing technology efforts concluding?</t>
  </si>
  <si>
    <t>Have manufacturing technology process improvement efforts been initiated for FRP?</t>
  </si>
  <si>
    <t>Have studies been performed to test hypotheses regarding cause-effect relationships between technology variables and producibility?</t>
  </si>
  <si>
    <t>Are initial producibility and manufacturability assessments in selection of preferred materiel solution been considered in AoA ?</t>
  </si>
  <si>
    <t>Are initial producibility and manufacturability assessments in selection of preferred materiel solution been documented in AS key components/technologies?</t>
  </si>
  <si>
    <t>Do the ongoing design trades include consideration of manufacturing processes and industrial base capability constraints?</t>
  </si>
  <si>
    <t>Have the manufacturing processes been assessed for capability to be tested and verified in production?</t>
  </si>
  <si>
    <t>Have the results of the producibility assessments and trade studies been used to shape the Acquisition Strategy, the Systems Engineering Plan, the manufacturing and producibility plans, and planning for the Engineering and Manufacturing Development phase or for technology insertion programs?</t>
  </si>
  <si>
    <t>Have efforts to enhance the producibility (i.e., DFM, DFA, etc.) been initiated?</t>
  </si>
  <si>
    <t>Are producibility enhancement efforts (i.e. Design for Manufacturing, Design for Assembly, etc.) ongoing?</t>
  </si>
  <si>
    <t>Are any additional producibility issues and risks discovered in LRIP being managed for FRP?</t>
  </si>
  <si>
    <t>Does the SEP and T&amp;E Strategy recognize the need for the establishment/validation of manufacturing capability and management of manufacturing risk for the product lifecycle?</t>
  </si>
  <si>
    <t>Are lower level performance requirements (e.g., those needed to meet initial KPPs) sufficient to proceed to the preliminary design?</t>
  </si>
  <si>
    <t>Have all enabling and/or critical technologies and components (e.g., those needed to meet performance requirements) been identified?</t>
  </si>
  <si>
    <t>Has the evaluation of the design for Key Characteristics (KCs) been initiated?</t>
  </si>
  <si>
    <t>Have initial cost models been developed which include high-level process steps and materials?</t>
  </si>
  <si>
    <t>Have cost estimates been refined based on anticipated production volumes associated with preferred materiel solution?</t>
  </si>
  <si>
    <t>Does the cost model support AoA and ASR?</t>
  </si>
  <si>
    <t>In addition to prior elements, does the updated cost model include design requirements, material specifications, tolerances, consideration of the Integrated Master Schedule, the results of system and/or subsystem simulations, and demonstrations of production-relevant prototypes?</t>
  </si>
  <si>
    <t>Have producibility and lifecycle cost risks and issues been assessed for the preferred materiel solution?</t>
  </si>
  <si>
    <t>Is the up-to-date cost model being utilized as an input to decisions (trades) on design, make/buy choices, capacity requirements, process capability requirements, sources, quality requirements, Key Characteristics, yield/rate requirements, and variability control requirements?</t>
  </si>
  <si>
    <t>Is the up-to-date cost model and life cycle cost estimate (LCCE) being utilized as an input to decisions on detailed design trade studies and engineering change requests?</t>
  </si>
  <si>
    <t>Have the learning curves been analyzed with actual data?</t>
  </si>
  <si>
    <t>Does the manufacturing budget estimate include capital investment for equipment to be used in the production-relevant environment?</t>
  </si>
  <si>
    <t>Does the manufacturing budget estimate include capital investment for production-representative equipment for CDR?</t>
  </si>
  <si>
    <t>Does the manufacturing budget estimate include capital investment for pilot line equipment?</t>
  </si>
  <si>
    <t>Have material properties been adequately characterized to enable producing prototypes in a production-relevant environment?</t>
  </si>
  <si>
    <t>Are all materials meeting specifications during LRIP?</t>
  </si>
  <si>
    <t>Have material availability risks and issues been addressed for the prototype build?</t>
  </si>
  <si>
    <t>Have materials, items, components, etc. been identified which are at risk fromDMSMS during the product life cycle?</t>
  </si>
  <si>
    <t>Have requirements for the supply chain throughout the product lifecycle been updated?</t>
  </si>
  <si>
    <t>Are sole/single/Foreign Owned, Controlled, or Influenced suppliers being assessed and monitored?</t>
  </si>
  <si>
    <t>Have hazardous materials been identified and safety procedures are in place?</t>
  </si>
  <si>
    <t>Have raw materials and components been assessed for special handling and potential regulatory requirements?</t>
  </si>
  <si>
    <t>Have special handling procedures been applied in a laboratory environment?</t>
  </si>
  <si>
    <t>Have Environmental, Safety, and Health (ESH) requirements been applied in the production-relevant environment?</t>
  </si>
  <si>
    <t>Have special handling procedures been applied in the production-relevant environment?</t>
  </si>
  <si>
    <t>Have special handling procedures including security, both physical and cyber, been demonstrated in a production-relevant environment?</t>
  </si>
  <si>
    <t>Have special handling procedures including security, physical and cyber, been applied in a pilot line environment?</t>
  </si>
  <si>
    <t>Have special handling procedures, including security, physical and cyber, been demonstrated in a LRIP environment?</t>
  </si>
  <si>
    <t>Has ESH compliance been demonstrated in FRP?</t>
  </si>
  <si>
    <t>Have the special handling procedures, including security, physical and cyber, been effectively implemented in FRP?</t>
  </si>
  <si>
    <t>Have the hazardous material storage and disposal procedures been effectively implemented in FRP?</t>
  </si>
  <si>
    <t>Have the results of pilot line modeling &amp; simulations been used to improve process?</t>
  </si>
  <si>
    <t>Do the results of LRIP modeling &amp; simulations demonstrate that FRP requirements can be met?</t>
  </si>
  <si>
    <t>Have process capability requirements and improvement plans been developed and documented in the SEP?</t>
  </si>
  <si>
    <t>Have the manufacturing processes been demonstrated in a production-relevant environment?</t>
  </si>
  <si>
    <t>Does the data collected from pilot line builds meet the process capability (i.e., Cpk) targets?</t>
  </si>
  <si>
    <t>Based on the data collected from pilot line builds, have the requirements for process capabilities (i.e., Cpk) been refined for LRIP and FRP?</t>
  </si>
  <si>
    <t>Have manufacturing processes achieved program LRIP objectives?</t>
  </si>
  <si>
    <t>Have variability experiments been conducted to determine the potential for continuous improvement?</t>
  </si>
  <si>
    <t>Have yield and rate assessments on the preferred materiel solution been completed and considered in the AoA?</t>
  </si>
  <si>
    <t>Have improvement plans for yields and rates been developed and initiated?</t>
  </si>
  <si>
    <t>Are yields and rates from the production-relevant environment being evaluated against targets?</t>
  </si>
  <si>
    <t>Are results of the evaluation of production-relevant yields and rates included in the ongoing improvement plans?</t>
  </si>
  <si>
    <t>Are results of an evaluation of the production-representative yields and rates included in the ongoing improvement plans?</t>
  </si>
  <si>
    <t>Have the previously established quality targets for pilot line been met?</t>
  </si>
  <si>
    <t>Have results of an evaluation of pilot line quality data actuals against quality targets been used for continuous quality improvement?</t>
  </si>
  <si>
    <t>Have studies been performed to test hypotheses regarding cause-effect relationships between technology variables and quality?</t>
  </si>
  <si>
    <t>Has an approach for management of Key Characteristics been defined?</t>
  </si>
  <si>
    <t>Have initial requirements for in-process inspection, acceptance test procedures, and final inspection requirements for EMD units been identified?</t>
  </si>
  <si>
    <t>Has quality data from the production-representative environment been collected and analyzed?</t>
  </si>
  <si>
    <t>Have the results of the analysis of production-representative quality data been used to shape improvement plans?</t>
  </si>
  <si>
    <t>Are Key Characteristics being actively managed?</t>
  </si>
  <si>
    <t>Are measurement procedures and controls in place, such as Statistical Process Controls; a Failure, Reporting, Analysis, and Corrective Action System, quality audits, customer satisfaction monitoring, etc.?</t>
  </si>
  <si>
    <t>Have potential supplier quality risks and issues been identified for the preferred materiel solution, including sub-tier suppliers?</t>
  </si>
  <si>
    <t>Have supplier quality management system requirements been defined and documented in the AS?</t>
  </si>
  <si>
    <t>Do key supplier Quality Management Systems (QMSs) meet appropriate industry standards?</t>
  </si>
  <si>
    <t>Are plans to conduct quality audits of subcontractor processes in place?</t>
  </si>
  <si>
    <t>Does analysis of supplier quality data show that supplier quality management of Key Characteristics, as well as other critical-to-quality manufacturing processes are capable and under control ready for rate production (FRP)?</t>
  </si>
  <si>
    <t>Does analysis of supplier quality data show adequate management of Key Characteristics and control of critical manufacturing processes (i.e., meeting Cpks), including supplier quality management of subtier suppliers?</t>
  </si>
  <si>
    <t>Have requirements for special skills certification and training (i.e., included in workforce plans) been established?</t>
  </si>
  <si>
    <t>Are the required manufacturing workforce skills available for the production-relevant environment?</t>
  </si>
  <si>
    <t>Have the plans to achieve the manufacturing workforce resources required for pilot line been developed?</t>
  </si>
  <si>
    <t>Based on pilot line results, have the plans to achieve the manufacturing workforce resources required for FRP requirements been initiated?</t>
  </si>
  <si>
    <t>Have all workforce requirements for LRIP been met?</t>
  </si>
  <si>
    <t>Have prototype tooling, Special Test Equipment, and/or Special Inspection Equipment concepts been demonstrated in production-relevant environment?</t>
  </si>
  <si>
    <t>Are efforts to develop requirements for production tooling, Special Test Equipment, and/or Special Inspection Equipment complete?</t>
  </si>
  <si>
    <t>Has a manufacturing equipment maintenance strategy including tooling, Special Test Equipment, and/or Special Inspection Equipment been developed?</t>
  </si>
  <si>
    <t>Have additional tooling, test and inspection equipment requirements been identified for LRIP?</t>
  </si>
  <si>
    <t>Have Special Test Equipment, and/or Special Inspection Equipment been validated as part of pilot line and IAW validation in accordance with the validation plan?</t>
  </si>
  <si>
    <t>Is all tooling, test, and inspection equipment (i.e., STE/SIE) for FRP in place?</t>
  </si>
  <si>
    <t>Have facility capabilities and capacity requirements and gaps for system concepts been identified?</t>
  </si>
  <si>
    <t>Have capability and availability of mfg. facilities for prototype development and production of the preferred materiel solution been evaluated?</t>
  </si>
  <si>
    <t>Have capability and availability of mfg. facilities for prototype development and production of the preferred materiel solution been included in the AoA?</t>
  </si>
  <si>
    <t>Have capability and availability of mfg. facilities for prototype development and production of the preferred materiel solution been documented in the AS and SEP?</t>
  </si>
  <si>
    <t>Have requirements for human factors and ergonomics for manufacturing personnel, processes, and equipment been verified in a production-relevant environment?</t>
  </si>
  <si>
    <t>Have safety requirements for manufacturing personnel, processes, and equipment been verified in a production-relevant environment?</t>
  </si>
  <si>
    <t>Have manufacturing facilities been successfully demonstrated in LRIP?</t>
  </si>
  <si>
    <t>Are manufacturing facility capacity plans adequate to meet the requirements for FRP?</t>
  </si>
  <si>
    <t>Have initial work instructions been developed?</t>
  </si>
  <si>
    <t>Is an effective production control system in place to support the pilot line?</t>
  </si>
  <si>
    <t>Have work instructions been finalized?</t>
  </si>
  <si>
    <t>Do the make or buy evaluations include requirements and considerations for pilot line, LRIP, and rate production (FRP)?</t>
  </si>
  <si>
    <t>Have materials risks and issues been assessed (identified)?</t>
  </si>
  <si>
    <t>Is the Bill of Materials completed for pilot line build?</t>
  </si>
  <si>
    <t>Based on the pilot line, are there any changes to the make or buy decisions for LRIP?</t>
  </si>
  <si>
    <t>Based on pilot line, are there any changes to the Bill of Materials for LRIP?</t>
  </si>
  <si>
    <t>Have the risks of cybersecurity measures on manufacturing processes for preferred materiel solutions been identified and minimized?</t>
  </si>
  <si>
    <t>Have potential OT Cybersecurity measures been assessed for impacts to producibility and manufacturability?</t>
  </si>
  <si>
    <t>Has the workforce been trained as appropriate in cybersecurity?</t>
  </si>
  <si>
    <t>Does planning for OT systems (i.e., in-house factory systems, production equipment, STE/SIE, and tooling) include cybersecurity and physical/digital access requirements?</t>
  </si>
  <si>
    <t>Have supply chain OT Cybersecurity and vulnerability risk mitigation plans been implemented?</t>
  </si>
  <si>
    <t>Has the workforce been trained as appropriate in up-to-date cybersecurity procedures for a pilot line environment?</t>
  </si>
  <si>
    <t>Has the workforce been trained as appropriate in up-to-date cybersecurity procedures for production?</t>
  </si>
  <si>
    <t>Have OT Cybersecurity procedures been reviewed and updated?</t>
  </si>
  <si>
    <t>Have OT Cybersecurity capabilities and solutions been tested to support modifications, upgrades, surge and other potential manufacturing requirements?</t>
  </si>
  <si>
    <t>Is the occurance of cybersecurity incidents minimal, with prompt identification and corective actions, minimizing impacts??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</si>
</sst>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color theme="1"/>
      <name val="Calibri"/>
      <family val="2"/>
      <scheme val="minor"/>
    </font>
    <font>
      <sz val="10"/>
      <name val="Arial"/>
      <family val="2"/>
    </font>
    <font>
      <b/>
      <u/>
      <sz val="18"/>
      <name val="Arial"/>
      <family val="2"/>
    </font>
    <font>
      <sz val="12"/>
      <name val="Arial"/>
      <family val="2"/>
    </font>
    <font>
      <b/>
      <sz val="12"/>
      <name val="Arial"/>
      <family val="2"/>
    </font>
    <font>
      <i/>
      <sz val="12"/>
      <name val="Arial"/>
      <family val="2"/>
    </font>
    <font>
      <u/>
      <sz val="12"/>
      <name val="Arial"/>
      <family val="2"/>
    </font>
    <font>
      <vertAlign val="superscript"/>
      <sz val="12"/>
      <name val="Arial"/>
      <family val="2"/>
    </font>
    <font>
      <b/>
      <sz val="10"/>
      <name val="Arial"/>
      <family val="2"/>
    </font>
    <font>
      <sz val="10"/>
      <name val="Arial"/>
      <family val="2"/>
    </font>
    <font>
      <b/>
      <sz val="10"/>
      <color indexed="10"/>
      <name val="Arial"/>
      <family val="2"/>
    </font>
    <font>
      <sz val="11"/>
      <name val="Arial Black"/>
      <family val="2"/>
    </font>
    <font>
      <b/>
      <sz val="14"/>
      <name val="Arial"/>
      <family val="2"/>
    </font>
    <font>
      <b/>
      <sz val="11"/>
      <name val="Arial Black"/>
      <family val="2"/>
    </font>
    <font>
      <b/>
      <sz val="11"/>
      <name val="Arial"/>
      <family val="2"/>
    </font>
    <font>
      <sz val="9"/>
      <name val="Arial"/>
      <family val="2"/>
    </font>
    <font>
      <b/>
      <sz val="9"/>
      <color indexed="81"/>
      <name val="Tahoma"/>
      <family val="2"/>
    </font>
    <font>
      <sz val="9"/>
      <color indexed="81"/>
      <name val="Tahoma"/>
      <family val="2"/>
    </font>
    <font>
      <b/>
      <sz val="11"/>
      <color theme="1"/>
      <name val="Calibri"/>
      <family val="2"/>
      <scheme val="minor"/>
    </font>
    <font>
      <sz val="10"/>
      <color rgb="FF0000FF"/>
      <name val="Arial"/>
      <family val="2"/>
    </font>
    <font>
      <sz val="10"/>
      <name val="Calibri"/>
      <family val="2"/>
      <scheme val="minor"/>
    </font>
    <font>
      <sz val="10"/>
      <color theme="1"/>
      <name val="Arial"/>
      <family val="2"/>
    </font>
    <font>
      <sz val="10"/>
      <color rgb="FFFF0000"/>
      <name val="Calibri"/>
      <family val="2"/>
      <scheme val="minor"/>
    </font>
    <font>
      <b/>
      <sz val="11"/>
      <color rgb="FFFF0000"/>
      <name val="Calibri"/>
      <family val="2"/>
      <scheme val="minor"/>
    </font>
    <font>
      <sz val="8"/>
      <color rgb="FF000000"/>
      <name val="Tahoma"/>
      <family val="2"/>
    </font>
    <font>
      <sz val="10"/>
      <name val="Arial"/>
      <family val="2"/>
    </font>
    <font>
      <b/>
      <sz val="10"/>
      <color theme="0"/>
      <name val="Arial"/>
      <family val="2"/>
    </font>
    <font>
      <b/>
      <sz val="24"/>
      <color rgb="FF0070C0"/>
      <name val="Arial"/>
      <family val="2"/>
    </font>
    <font>
      <b/>
      <u/>
      <sz val="14"/>
      <color rgb="FF0070C0"/>
      <name val="Arial"/>
      <family val="2"/>
    </font>
    <font>
      <b/>
      <sz val="14"/>
      <color rgb="FF0070C0"/>
      <name val="Arial"/>
      <family val="2"/>
    </font>
    <font>
      <i/>
      <sz val="11"/>
      <color theme="1"/>
      <name val="Calibri"/>
      <family val="2"/>
      <scheme val="minor"/>
    </font>
    <font>
      <b/>
      <u/>
      <sz val="16"/>
      <color rgb="FF0070C0"/>
      <name val="Arial"/>
      <family val="2"/>
    </font>
    <font>
      <b/>
      <sz val="16"/>
      <color rgb="FF0070C0"/>
      <name val="Arial"/>
      <family val="2"/>
    </font>
    <font>
      <b/>
      <sz val="12"/>
      <color theme="1"/>
      <name val="Calibri"/>
      <family val="2"/>
      <scheme val="minor"/>
    </font>
    <font>
      <b/>
      <sz val="9"/>
      <color theme="1"/>
      <name val="Arial Black"/>
      <family val="2"/>
    </font>
    <font>
      <sz val="9"/>
      <name val="Times New Roman"/>
      <family val="1"/>
    </font>
    <font>
      <u/>
      <sz val="9"/>
      <name val="Times New Roman"/>
      <family val="1"/>
    </font>
    <font>
      <sz val="9"/>
      <name val="Arial Black"/>
      <family val="2"/>
    </font>
    <font>
      <b/>
      <sz val="20"/>
      <color theme="1"/>
      <name val="Calibri"/>
      <family val="2"/>
      <scheme val="minor"/>
    </font>
    <font>
      <sz val="11"/>
      <color rgb="FF000000"/>
      <name val="Calibri"/>
      <family val="2"/>
    </font>
    <font>
      <sz val="11"/>
      <color rgb="FFFF0000"/>
      <name val="Calibri"/>
      <family val="2"/>
      <scheme val="minor"/>
    </font>
    <font>
      <i/>
      <sz val="11"/>
      <color rgb="FFFF0000"/>
      <name val="Calibri"/>
      <family val="2"/>
      <scheme val="minor"/>
    </font>
  </fonts>
  <fills count="22">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11"/>
        <bgColor indexed="64"/>
      </patternFill>
    </fill>
    <fill>
      <patternFill patternType="solid">
        <fgColor indexed="51"/>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indexed="30"/>
        <bgColor indexed="64"/>
      </patternFill>
    </fill>
    <fill>
      <patternFill patternType="solid">
        <fgColor indexed="46"/>
        <bgColor indexed="64"/>
      </patternFill>
    </fill>
    <fill>
      <patternFill patternType="solid">
        <fgColor indexed="31"/>
        <bgColor indexed="64"/>
      </patternFill>
    </fill>
    <fill>
      <patternFill patternType="solid">
        <fgColor theme="0" tint="-0.249977111117893"/>
        <bgColor indexed="64"/>
      </patternFill>
    </fill>
    <fill>
      <patternFill patternType="solid">
        <fgColor rgb="FF00FFFF"/>
        <bgColor indexed="64"/>
      </patternFill>
    </fill>
    <fill>
      <patternFill patternType="solid">
        <fgColor rgb="FF99CCFF"/>
        <bgColor indexed="64"/>
      </patternFill>
    </fill>
    <fill>
      <patternFill patternType="solid">
        <fgColor rgb="FF99FF33"/>
        <bgColor indexed="64"/>
      </patternFill>
    </fill>
    <fill>
      <patternFill patternType="solid">
        <fgColor rgb="FF00FF00"/>
        <bgColor indexed="64"/>
      </patternFill>
    </fill>
    <fill>
      <patternFill patternType="solid">
        <fgColor theme="3" tint="0.79998168889431442"/>
        <bgColor indexed="64"/>
      </patternFill>
    </fill>
    <fill>
      <patternFill patternType="solid">
        <fgColor theme="0"/>
        <bgColor indexed="64"/>
      </patternFill>
    </fill>
    <fill>
      <patternFill patternType="solid">
        <fgColor rgb="FFFFFF99"/>
        <bgColor indexed="64"/>
      </patternFill>
    </fill>
    <fill>
      <patternFill patternType="solid">
        <fgColor rgb="FFCCFFFF"/>
        <bgColor indexed="64"/>
      </patternFill>
    </fill>
    <fill>
      <patternFill patternType="solid">
        <fgColor rgb="FFFFCC00"/>
        <bgColor indexed="64"/>
      </patternFill>
    </fill>
  </fills>
  <borders count="37">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7">
    <xf numFmtId="0" fontId="0" fillId="0" borderId="0"/>
    <xf numFmtId="0" fontId="1" fillId="0" borderId="0"/>
    <xf numFmtId="0" fontId="9" fillId="0" borderId="0"/>
    <xf numFmtId="0" fontId="25" fillId="0" borderId="0"/>
    <xf numFmtId="0" fontId="25" fillId="0" borderId="0"/>
    <xf numFmtId="0" fontId="1" fillId="0" borderId="0"/>
    <xf numFmtId="0" fontId="1" fillId="0" borderId="0"/>
  </cellStyleXfs>
  <cellXfs count="214">
    <xf numFmtId="0" fontId="0" fillId="0" borderId="0" xfId="0"/>
    <xf numFmtId="0" fontId="2" fillId="0" borderId="1" xfId="1" applyFont="1" applyBorder="1" applyAlignment="1">
      <alignment horizontal="center" vertical="top" wrapText="1"/>
    </xf>
    <xf numFmtId="0" fontId="1" fillId="0" borderId="0" xfId="1"/>
    <xf numFmtId="0" fontId="3" fillId="0" borderId="2" xfId="1" applyFont="1" applyBorder="1" applyAlignment="1">
      <alignment horizontal="left" vertical="top" wrapText="1"/>
    </xf>
    <xf numFmtId="0" fontId="1" fillId="0" borderId="3" xfId="1" applyBorder="1" applyAlignment="1">
      <alignment horizontal="left" vertical="top" wrapText="1"/>
    </xf>
    <xf numFmtId="0" fontId="1" fillId="0" borderId="3" xfId="1" applyBorder="1"/>
    <xf numFmtId="0" fontId="3" fillId="0" borderId="1" xfId="1" applyFont="1" applyBorder="1" applyAlignment="1">
      <alignment horizontal="left" vertical="top" wrapText="1"/>
    </xf>
    <xf numFmtId="0" fontId="1" fillId="0" borderId="4" xfId="1" applyBorder="1"/>
    <xf numFmtId="0" fontId="1" fillId="0" borderId="0" xfId="1" applyBorder="1"/>
    <xf numFmtId="0" fontId="1" fillId="0" borderId="0" xfId="1" applyAlignment="1">
      <alignment horizontal="left" vertical="top" wrapText="1"/>
    </xf>
    <xf numFmtId="0" fontId="8" fillId="12" borderId="2" xfId="1" applyFont="1" applyFill="1" applyBorder="1"/>
    <xf numFmtId="0" fontId="8" fillId="12" borderId="2" xfId="1" applyFont="1" applyFill="1" applyBorder="1" applyAlignment="1">
      <alignment wrapText="1"/>
    </xf>
    <xf numFmtId="0" fontId="1" fillId="0" borderId="2" xfId="1" applyBorder="1"/>
    <xf numFmtId="14" fontId="1" fillId="0" borderId="2" xfId="1" applyNumberFormat="1" applyBorder="1" applyAlignment="1">
      <alignment wrapText="1"/>
    </xf>
    <xf numFmtId="0" fontId="1" fillId="0" borderId="2" xfId="1" applyBorder="1" applyAlignment="1">
      <alignment wrapText="1"/>
    </xf>
    <xf numFmtId="0" fontId="9" fillId="0" borderId="2" xfId="1" applyFont="1" applyBorder="1"/>
    <xf numFmtId="0" fontId="9" fillId="0" borderId="0" xfId="1" applyFont="1"/>
    <xf numFmtId="0" fontId="9" fillId="0" borderId="0" xfId="1" applyFont="1" applyAlignment="1">
      <alignment horizontal="center" vertical="center"/>
    </xf>
    <xf numFmtId="0" fontId="1" fillId="0" borderId="0" xfId="1" applyBorder="1" applyAlignment="1">
      <alignment horizontal="center"/>
    </xf>
    <xf numFmtId="0" fontId="8" fillId="13" borderId="2" xfId="1" applyFont="1" applyFill="1" applyBorder="1"/>
    <xf numFmtId="14" fontId="9" fillId="0" borderId="2" xfId="1" applyNumberFormat="1" applyFont="1" applyBorder="1" applyAlignment="1">
      <alignment wrapText="1"/>
    </xf>
    <xf numFmtId="0" fontId="1" fillId="0" borderId="2" xfId="1" applyNumberFormat="1" applyBorder="1" applyAlignment="1">
      <alignment wrapText="1"/>
    </xf>
    <xf numFmtId="0" fontId="8" fillId="0" borderId="2" xfId="2" applyFont="1" applyFill="1" applyBorder="1" applyAlignment="1" applyProtection="1">
      <alignment horizontal="center" vertical="center" wrapText="1"/>
    </xf>
    <xf numFmtId="0" fontId="13" fillId="3" borderId="2" xfId="2" applyFont="1" applyFill="1" applyBorder="1" applyAlignment="1" applyProtection="1">
      <alignment horizontal="center" vertical="center" wrapText="1"/>
    </xf>
    <xf numFmtId="0" fontId="13" fillId="4" borderId="2" xfId="2" applyFont="1" applyFill="1" applyBorder="1" applyAlignment="1" applyProtection="1">
      <alignment horizontal="center" vertical="center" wrapText="1"/>
    </xf>
    <xf numFmtId="0" fontId="11" fillId="2" borderId="2" xfId="2" applyFont="1" applyFill="1" applyBorder="1" applyAlignment="1" applyProtection="1">
      <alignment horizontal="center" vertical="center" wrapText="1"/>
    </xf>
    <xf numFmtId="0" fontId="11" fillId="5" borderId="2" xfId="2" applyFont="1" applyFill="1" applyBorder="1" applyAlignment="1" applyProtection="1">
      <alignment horizontal="center" vertical="center" wrapText="1"/>
    </xf>
    <xf numFmtId="0" fontId="11" fillId="4" borderId="2" xfId="2" applyFont="1" applyFill="1" applyBorder="1" applyAlignment="1" applyProtection="1">
      <alignment horizontal="center" vertical="center" wrapText="1"/>
    </xf>
    <xf numFmtId="0" fontId="9" fillId="0" borderId="2" xfId="2" applyFont="1" applyBorder="1" applyAlignment="1" applyProtection="1">
      <alignment horizontal="center" vertical="center" wrapText="1"/>
    </xf>
    <xf numFmtId="0" fontId="9" fillId="6" borderId="2" xfId="2" applyFont="1" applyFill="1" applyBorder="1" applyAlignment="1" applyProtection="1">
      <alignment horizontal="center" vertical="center" wrapText="1"/>
    </xf>
    <xf numFmtId="0" fontId="9" fillId="5" borderId="2" xfId="2" applyFont="1" applyFill="1" applyBorder="1" applyAlignment="1" applyProtection="1">
      <alignment horizontal="center" vertical="center" wrapText="1"/>
    </xf>
    <xf numFmtId="0" fontId="8" fillId="3" borderId="2" xfId="2" applyFont="1" applyFill="1" applyBorder="1" applyAlignment="1" applyProtection="1">
      <alignment horizontal="center" vertical="top" wrapText="1"/>
    </xf>
    <xf numFmtId="0" fontId="19" fillId="0" borderId="2" xfId="2" applyFont="1" applyBorder="1" applyAlignment="1" applyProtection="1">
      <alignment horizontal="left" vertical="top" wrapText="1"/>
    </xf>
    <xf numFmtId="0" fontId="8" fillId="8" borderId="2" xfId="2" applyFont="1" applyFill="1" applyBorder="1" applyAlignment="1" applyProtection="1">
      <alignment horizontal="center" vertical="top" wrapText="1"/>
    </xf>
    <xf numFmtId="0" fontId="8" fillId="4" borderId="2" xfId="2" applyFont="1" applyFill="1" applyBorder="1" applyAlignment="1" applyProtection="1">
      <alignment horizontal="center" vertical="top" wrapText="1"/>
    </xf>
    <xf numFmtId="0" fontId="8" fillId="9" borderId="2" xfId="2" applyFont="1" applyFill="1" applyBorder="1" applyAlignment="1" applyProtection="1">
      <alignment horizontal="center" vertical="top" wrapText="1"/>
    </xf>
    <xf numFmtId="0" fontId="8" fillId="10" borderId="2" xfId="2" applyFont="1" applyFill="1" applyBorder="1" applyAlignment="1" applyProtection="1">
      <alignment horizontal="center" vertical="top" wrapText="1"/>
    </xf>
    <xf numFmtId="0" fontId="8" fillId="11" borderId="2" xfId="2" applyFont="1" applyFill="1" applyBorder="1" applyAlignment="1" applyProtection="1">
      <alignment horizontal="center" vertical="top" wrapText="1"/>
    </xf>
    <xf numFmtId="0" fontId="8" fillId="0" borderId="0" xfId="1" applyFont="1" applyAlignment="1">
      <alignment vertical="top"/>
    </xf>
    <xf numFmtId="0" fontId="1" fillId="0" borderId="0" xfId="1" applyAlignment="1">
      <alignment horizontal="center" vertical="top"/>
    </xf>
    <xf numFmtId="0" fontId="1" fillId="0" borderId="0" xfId="1" applyAlignment="1">
      <alignment horizontal="left" vertical="top"/>
    </xf>
    <xf numFmtId="0" fontId="20" fillId="14" borderId="0" xfId="1" applyFont="1" applyFill="1" applyAlignment="1">
      <alignment horizontal="left" vertical="top" wrapText="1"/>
    </xf>
    <xf numFmtId="0" fontId="21" fillId="0" borderId="0" xfId="1" applyFont="1" applyFill="1" applyAlignment="1">
      <alignment vertical="top" wrapText="1"/>
    </xf>
    <xf numFmtId="0" fontId="21" fillId="0" borderId="0" xfId="1" applyFont="1" applyAlignment="1">
      <alignment vertical="top" wrapText="1"/>
    </xf>
    <xf numFmtId="0" fontId="18" fillId="0" borderId="0" xfId="1" applyFont="1" applyAlignment="1">
      <alignment vertical="top" wrapText="1"/>
    </xf>
    <xf numFmtId="0" fontId="8" fillId="0" borderId="0" xfId="1" applyFont="1" applyAlignment="1">
      <alignment vertical="top" wrapText="1"/>
    </xf>
    <xf numFmtId="0" fontId="23" fillId="0" borderId="0" xfId="1" applyFont="1" applyAlignment="1">
      <alignment horizontal="left" vertical="top" wrapText="1"/>
    </xf>
    <xf numFmtId="0" fontId="1" fillId="0" borderId="0" xfId="1" applyAlignment="1">
      <alignment vertical="top" wrapText="1"/>
    </xf>
    <xf numFmtId="0" fontId="1" fillId="0" borderId="0" xfId="1" applyAlignment="1">
      <alignment vertical="top"/>
    </xf>
    <xf numFmtId="0" fontId="8" fillId="5" borderId="2" xfId="1" applyFont="1" applyFill="1" applyBorder="1" applyAlignment="1">
      <alignment horizontal="left" vertical="top" wrapText="1"/>
    </xf>
    <xf numFmtId="0" fontId="27" fillId="0" borderId="0" xfId="1" applyFont="1" applyFill="1" applyBorder="1" applyAlignment="1">
      <alignment vertical="top" wrapText="1"/>
    </xf>
    <xf numFmtId="0" fontId="27" fillId="0" borderId="0" xfId="1" applyFont="1" applyFill="1" applyBorder="1" applyAlignment="1">
      <alignment horizontal="center" vertical="top" wrapText="1"/>
    </xf>
    <xf numFmtId="0" fontId="0" fillId="0" borderId="12" xfId="0" applyBorder="1"/>
    <xf numFmtId="0" fontId="0" fillId="0" borderId="15" xfId="0" applyBorder="1"/>
    <xf numFmtId="0" fontId="0" fillId="0" borderId="15" xfId="0" applyBorder="1" applyAlignment="1">
      <alignment wrapText="1"/>
    </xf>
    <xf numFmtId="0" fontId="0" fillId="0" borderId="16" xfId="0" applyBorder="1"/>
    <xf numFmtId="0" fontId="0" fillId="0" borderId="17" xfId="0" applyBorder="1" applyAlignment="1">
      <alignment wrapText="1"/>
    </xf>
    <xf numFmtId="0" fontId="33" fillId="0" borderId="12" xfId="0" applyFont="1" applyBorder="1"/>
    <xf numFmtId="0" fontId="30" fillId="0" borderId="15" xfId="0" applyFont="1" applyBorder="1" applyAlignment="1">
      <alignment wrapText="1"/>
    </xf>
    <xf numFmtId="0" fontId="15" fillId="0" borderId="0" xfId="1" applyFont="1"/>
    <xf numFmtId="0" fontId="34" fillId="0" borderId="12" xfId="1" applyFont="1" applyBorder="1" applyAlignment="1" applyProtection="1">
      <alignment horizontal="left" vertical="top" wrapText="1"/>
      <protection locked="0"/>
    </xf>
    <xf numFmtId="0" fontId="15" fillId="0" borderId="15" xfId="1" applyFont="1" applyBorder="1" applyAlignment="1">
      <alignment wrapText="1"/>
    </xf>
    <xf numFmtId="0" fontId="34" fillId="0" borderId="12" xfId="1" applyFont="1" applyBorder="1" applyAlignment="1">
      <alignment horizontal="left" wrapText="1"/>
    </xf>
    <xf numFmtId="0" fontId="35" fillId="0" borderId="0" xfId="1" applyFont="1"/>
    <xf numFmtId="0" fontId="34" fillId="0" borderId="12" xfId="1" applyFont="1" applyBorder="1" applyAlignment="1">
      <alignment horizontal="left" vertical="top" wrapText="1"/>
    </xf>
    <xf numFmtId="0" fontId="15" fillId="0" borderId="15" xfId="1" applyFont="1" applyBorder="1" applyAlignment="1" applyProtection="1">
      <alignment horizontal="left" vertical="top" wrapText="1"/>
      <protection locked="0"/>
    </xf>
    <xf numFmtId="0" fontId="36" fillId="0" borderId="0" xfId="1" applyFont="1" applyBorder="1" applyAlignment="1" applyProtection="1">
      <alignment horizontal="left" vertical="top" wrapText="1"/>
      <protection locked="0"/>
    </xf>
    <xf numFmtId="0" fontId="36" fillId="0" borderId="8" xfId="1" applyFont="1" applyBorder="1" applyAlignment="1" applyProtection="1">
      <alignment horizontal="left" vertical="top" wrapText="1"/>
      <protection locked="0"/>
    </xf>
    <xf numFmtId="0" fontId="34" fillId="0" borderId="12" xfId="1" applyFont="1" applyFill="1" applyBorder="1" applyAlignment="1" applyProtection="1">
      <alignment horizontal="left" vertical="top" wrapText="1"/>
      <protection locked="0"/>
    </xf>
    <xf numFmtId="0" fontId="34" fillId="0" borderId="16" xfId="1" applyFont="1" applyBorder="1" applyAlignment="1" applyProtection="1">
      <alignment horizontal="left" vertical="top" wrapText="1"/>
      <protection locked="0"/>
    </xf>
    <xf numFmtId="0" fontId="15" fillId="0" borderId="17" xfId="1" applyFont="1" applyBorder="1" applyAlignment="1">
      <alignment wrapText="1"/>
    </xf>
    <xf numFmtId="0" fontId="37" fillId="0" borderId="0" xfId="1" applyFont="1" applyBorder="1" applyAlignment="1" applyProtection="1">
      <alignment horizontal="left" vertical="top" wrapText="1"/>
      <protection locked="0"/>
    </xf>
    <xf numFmtId="0" fontId="15" fillId="0" borderId="0" xfId="1" applyFont="1" applyAlignment="1">
      <alignment wrapText="1"/>
    </xf>
    <xf numFmtId="0" fontId="0" fillId="0" borderId="0" xfId="0"/>
    <xf numFmtId="0" fontId="3" fillId="0" borderId="0" xfId="1" applyFont="1" applyFill="1" applyAlignment="1">
      <alignment horizontal="left" vertical="top" wrapText="1"/>
    </xf>
    <xf numFmtId="0" fontId="0" fillId="0" borderId="15" xfId="0" applyFont="1" applyBorder="1" applyAlignment="1">
      <alignment wrapText="1"/>
    </xf>
    <xf numFmtId="0" fontId="8" fillId="0" borderId="0" xfId="1" applyFont="1" applyBorder="1" applyAlignment="1">
      <alignment vertical="center" wrapText="1"/>
    </xf>
    <xf numFmtId="0" fontId="8" fillId="0" borderId="0" xfId="1" applyFont="1" applyBorder="1" applyAlignment="1">
      <alignment horizontal="center" vertical="center" textRotation="90" wrapText="1"/>
    </xf>
    <xf numFmtId="0" fontId="1" fillId="0" borderId="0" xfId="1" applyFont="1" applyBorder="1" applyAlignment="1">
      <alignment vertical="center" wrapText="1"/>
    </xf>
    <xf numFmtId="0" fontId="1" fillId="0" borderId="0" xfId="1" applyFont="1" applyFill="1" applyBorder="1" applyAlignment="1">
      <alignment vertical="center" wrapText="1"/>
    </xf>
    <xf numFmtId="0" fontId="1" fillId="3" borderId="2" xfId="2" applyFont="1" applyFill="1" applyBorder="1" applyAlignment="1" applyProtection="1">
      <alignment horizontal="center" vertical="center" wrapText="1"/>
    </xf>
    <xf numFmtId="0" fontId="1" fillId="0" borderId="2" xfId="2" applyFont="1" applyBorder="1" applyAlignment="1" applyProtection="1">
      <alignment horizontal="center" vertical="center" wrapText="1"/>
    </xf>
    <xf numFmtId="0" fontId="3" fillId="0" borderId="0" xfId="6" applyFont="1" applyFill="1" applyAlignment="1">
      <alignment horizontal="left" vertical="top" wrapText="1"/>
    </xf>
    <xf numFmtId="0" fontId="3" fillId="0" borderId="0" xfId="1" applyFont="1" applyFill="1" applyAlignment="1">
      <alignment vertical="top" wrapText="1"/>
    </xf>
    <xf numFmtId="0" fontId="1" fillId="7" borderId="2" xfId="1" applyFont="1" applyFill="1" applyBorder="1" applyAlignment="1">
      <alignment horizontal="left" vertical="top" wrapText="1"/>
    </xf>
    <xf numFmtId="0" fontId="8" fillId="5" borderId="2" xfId="2" applyFont="1" applyFill="1" applyBorder="1" applyAlignment="1" applyProtection="1">
      <alignment horizontal="center" vertical="top" wrapText="1"/>
    </xf>
    <xf numFmtId="0" fontId="8" fillId="5" borderId="7" xfId="2" applyFont="1" applyFill="1" applyBorder="1" applyAlignment="1" applyProtection="1">
      <alignment horizontal="center" vertical="top" wrapText="1"/>
    </xf>
    <xf numFmtId="0" fontId="8" fillId="0" borderId="0" xfId="0" applyFont="1" applyAlignment="1">
      <alignment horizontal="center" vertical="center"/>
    </xf>
    <xf numFmtId="0" fontId="1" fillId="0" borderId="0" xfId="0" applyFont="1" applyAlignment="1">
      <alignment horizontal="left" vertical="top" wrapText="1"/>
    </xf>
    <xf numFmtId="0" fontId="0" fillId="0" borderId="0" xfId="0" applyAlignment="1">
      <alignment horizontal="left" vertical="top" wrapText="1"/>
    </xf>
    <xf numFmtId="0" fontId="1" fillId="0" borderId="0" xfId="0" applyFont="1"/>
    <xf numFmtId="0" fontId="0" fillId="0" borderId="0" xfId="0" applyAlignment="1">
      <alignment horizontal="left" vertical="top"/>
    </xf>
    <xf numFmtId="0" fontId="8" fillId="0" borderId="0" xfId="0" applyFont="1" applyAlignment="1">
      <alignment horizontal="center"/>
    </xf>
    <xf numFmtId="0" fontId="8" fillId="0" borderId="0" xfId="0" applyFont="1" applyAlignment="1"/>
    <xf numFmtId="0" fontId="12" fillId="3" borderId="2" xfId="0" applyFont="1" applyFill="1" applyBorder="1" applyAlignment="1">
      <alignment horizontal="center" vertical="center" wrapText="1"/>
    </xf>
    <xf numFmtId="0" fontId="12" fillId="15" borderId="2" xfId="0" applyFont="1" applyFill="1" applyBorder="1" applyAlignment="1">
      <alignment horizontal="center" vertical="center" wrapText="1"/>
    </xf>
    <xf numFmtId="0" fontId="12" fillId="0" borderId="2" xfId="0" applyFont="1" applyFill="1" applyBorder="1" applyAlignment="1">
      <alignment horizontal="center" vertical="center" wrapText="1"/>
    </xf>
    <xf numFmtId="0" fontId="14" fillId="0" borderId="2" xfId="0" applyFont="1" applyFill="1" applyBorder="1" applyAlignment="1">
      <alignment horizontal="center" vertical="center" wrapText="1"/>
    </xf>
    <xf numFmtId="0" fontId="14" fillId="2" borderId="2" xfId="0" applyFont="1" applyFill="1" applyBorder="1" applyAlignment="1">
      <alignment horizontal="center" vertical="center" wrapText="1"/>
    </xf>
    <xf numFmtId="0" fontId="8" fillId="3" borderId="2" xfId="0" applyFont="1" applyFill="1" applyBorder="1" applyAlignment="1">
      <alignment horizontal="left" vertical="top" wrapText="1"/>
    </xf>
    <xf numFmtId="0" fontId="1" fillId="18" borderId="2" xfId="0" applyFont="1" applyFill="1" applyBorder="1" applyAlignment="1">
      <alignment horizontal="left" vertical="top" wrapText="1"/>
    </xf>
    <xf numFmtId="0" fontId="1" fillId="3" borderId="2" xfId="0" applyFont="1" applyFill="1" applyBorder="1" applyAlignment="1">
      <alignment horizontal="left" vertical="top" wrapText="1"/>
    </xf>
    <xf numFmtId="0" fontId="1" fillId="6" borderId="2" xfId="0" applyFont="1" applyFill="1" applyBorder="1" applyAlignment="1">
      <alignment horizontal="left" vertical="top" wrapText="1"/>
    </xf>
    <xf numFmtId="0" fontId="1" fillId="5" borderId="2" xfId="0" applyFont="1" applyFill="1" applyBorder="1" applyAlignment="1">
      <alignment horizontal="left" vertical="top" wrapText="1"/>
    </xf>
    <xf numFmtId="0" fontId="1" fillId="15" borderId="2" xfId="0" applyFont="1" applyFill="1" applyBorder="1" applyAlignment="1">
      <alignment horizontal="left" vertical="top" wrapText="1"/>
    </xf>
    <xf numFmtId="0" fontId="1" fillId="0" borderId="2" xfId="0" applyFont="1" applyFill="1" applyBorder="1" applyAlignment="1">
      <alignment horizontal="left" vertical="top" wrapText="1"/>
    </xf>
    <xf numFmtId="0" fontId="1" fillId="0" borderId="2" xfId="0" applyFont="1" applyBorder="1" applyAlignment="1">
      <alignment horizontal="left" vertical="top" wrapText="1"/>
    </xf>
    <xf numFmtId="0" fontId="1" fillId="19" borderId="2" xfId="0" applyFont="1" applyFill="1" applyBorder="1" applyAlignment="1">
      <alignment horizontal="left" vertical="top" wrapText="1"/>
    </xf>
    <xf numFmtId="0" fontId="1" fillId="20" borderId="2" xfId="0" applyFont="1" applyFill="1" applyBorder="1" applyAlignment="1">
      <alignment horizontal="left" vertical="top" wrapText="1"/>
    </xf>
    <xf numFmtId="0" fontId="1" fillId="21" borderId="2" xfId="0" applyFont="1" applyFill="1" applyBorder="1" applyAlignment="1">
      <alignment horizontal="left" vertical="top" wrapText="1"/>
    </xf>
    <xf numFmtId="0" fontId="8" fillId="8" borderId="2" xfId="0" applyFont="1" applyFill="1" applyBorder="1" applyAlignment="1">
      <alignment horizontal="left" vertical="top" wrapText="1"/>
    </xf>
    <xf numFmtId="0" fontId="8" fillId="4" borderId="2" xfId="0" applyFont="1" applyFill="1" applyBorder="1" applyAlignment="1">
      <alignment horizontal="left" vertical="top" wrapText="1"/>
    </xf>
    <xf numFmtId="0" fontId="1" fillId="6" borderId="1" xfId="0" applyFont="1" applyFill="1" applyBorder="1" applyAlignment="1">
      <alignment horizontal="left" vertical="top" wrapText="1"/>
    </xf>
    <xf numFmtId="0" fontId="1" fillId="5" borderId="1" xfId="0" applyFont="1" applyFill="1" applyBorder="1" applyAlignment="1">
      <alignment horizontal="left" vertical="top" wrapText="1"/>
    </xf>
    <xf numFmtId="0" fontId="1" fillId="0" borderId="2" xfId="0" applyFont="1" applyBorder="1" applyAlignment="1">
      <alignment vertical="top" wrapText="1"/>
    </xf>
    <xf numFmtId="0" fontId="26" fillId="9" borderId="2" xfId="0" applyFont="1" applyFill="1" applyBorder="1" applyAlignment="1">
      <alignment horizontal="left" vertical="top" wrapText="1"/>
    </xf>
    <xf numFmtId="0" fontId="8" fillId="5" borderId="2" xfId="0" applyFont="1" applyFill="1" applyBorder="1" applyAlignment="1">
      <alignment horizontal="left" vertical="top" wrapText="1"/>
    </xf>
    <xf numFmtId="0" fontId="1" fillId="3" borderId="1" xfId="0" applyFont="1" applyFill="1" applyBorder="1" applyAlignment="1">
      <alignment horizontal="left" vertical="top" wrapText="1"/>
    </xf>
    <xf numFmtId="0" fontId="14" fillId="7" borderId="2" xfId="0" applyFont="1" applyFill="1" applyBorder="1" applyAlignment="1">
      <alignment horizontal="center" vertical="center" textRotation="90" wrapText="1"/>
    </xf>
    <xf numFmtId="0" fontId="8" fillId="10" borderId="2" xfId="0" applyFont="1" applyFill="1" applyBorder="1" applyAlignment="1">
      <alignment horizontal="left" vertical="top" wrapText="1"/>
    </xf>
    <xf numFmtId="0" fontId="8" fillId="16" borderId="2" xfId="0" applyFont="1" applyFill="1" applyBorder="1" applyAlignment="1">
      <alignment horizontal="left" vertical="top" wrapText="1"/>
    </xf>
    <xf numFmtId="0" fontId="8" fillId="11" borderId="2" xfId="0" applyFont="1" applyFill="1" applyBorder="1" applyAlignment="1">
      <alignment horizontal="left" vertical="top" wrapText="1"/>
    </xf>
    <xf numFmtId="0" fontId="1" fillId="4" borderId="2" xfId="2" applyFont="1" applyFill="1" applyBorder="1" applyAlignment="1" applyProtection="1">
      <alignment horizontal="center" vertical="top" wrapText="1"/>
    </xf>
    <xf numFmtId="0" fontId="1" fillId="5" borderId="2" xfId="2" applyFont="1" applyFill="1" applyBorder="1" applyAlignment="1" applyProtection="1">
      <alignment horizontal="center" vertical="center" wrapText="1"/>
    </xf>
    <xf numFmtId="0" fontId="40" fillId="0" borderId="16" xfId="0" applyFont="1" applyBorder="1"/>
    <xf numFmtId="0" fontId="41" fillId="0" borderId="17" xfId="0" applyFont="1" applyBorder="1" applyAlignment="1">
      <alignment wrapText="1"/>
    </xf>
    <xf numFmtId="0" fontId="12" fillId="2" borderId="3" xfId="1" applyFont="1" applyFill="1" applyBorder="1" applyAlignment="1">
      <alignment vertical="center"/>
    </xf>
    <xf numFmtId="0" fontId="12" fillId="2" borderId="6" xfId="1" applyFont="1" applyFill="1" applyBorder="1" applyAlignment="1">
      <alignment vertical="center"/>
    </xf>
    <xf numFmtId="0" fontId="8" fillId="0" borderId="0" xfId="0" applyFont="1" applyFill="1" applyBorder="1" applyAlignment="1">
      <alignment horizontal="center" vertical="center" wrapText="1"/>
    </xf>
    <xf numFmtId="0" fontId="0" fillId="0" borderId="0" xfId="0" applyFill="1"/>
    <xf numFmtId="0" fontId="1" fillId="0" borderId="0" xfId="0" applyFont="1" applyFill="1" applyBorder="1"/>
    <xf numFmtId="0" fontId="1" fillId="0" borderId="0" xfId="1" applyFont="1" applyFill="1" applyBorder="1"/>
    <xf numFmtId="0" fontId="19" fillId="0" borderId="2" xfId="2" applyFont="1" applyFill="1" applyBorder="1" applyAlignment="1" applyProtection="1">
      <alignment horizontal="left" vertical="top" wrapText="1"/>
    </xf>
    <xf numFmtId="0" fontId="13" fillId="0" borderId="2" xfId="2" applyFont="1" applyFill="1" applyBorder="1" applyAlignment="1" applyProtection="1">
      <alignment horizontal="center" vertical="center" wrapText="1"/>
    </xf>
    <xf numFmtId="0" fontId="9" fillId="0" borderId="0" xfId="2" applyFont="1" applyFill="1" applyBorder="1" applyProtection="1"/>
    <xf numFmtId="0" fontId="9" fillId="0" borderId="0" xfId="2" applyFont="1" applyFill="1" applyBorder="1" applyAlignment="1" applyProtection="1">
      <alignment vertical="center" wrapText="1"/>
    </xf>
    <xf numFmtId="0" fontId="8" fillId="0" borderId="0" xfId="2" applyFont="1" applyFill="1" applyBorder="1" applyAlignment="1" applyProtection="1">
      <alignment horizontal="center" vertical="center" wrapText="1"/>
    </xf>
    <xf numFmtId="0" fontId="9" fillId="0" borderId="0" xfId="2" applyFont="1" applyFill="1" applyBorder="1" applyAlignment="1" applyProtection="1">
      <alignment horizontal="center" vertical="center" wrapText="1"/>
    </xf>
    <xf numFmtId="0" fontId="8" fillId="0" borderId="0" xfId="2" applyFont="1" applyBorder="1" applyAlignment="1" applyProtection="1">
      <alignment horizontal="center" vertical="center" textRotation="90" wrapText="1"/>
    </xf>
    <xf numFmtId="0" fontId="8" fillId="0" borderId="0" xfId="2" applyFont="1" applyBorder="1" applyAlignment="1" applyProtection="1">
      <alignment vertical="center" wrapText="1"/>
    </xf>
    <xf numFmtId="0" fontId="9" fillId="0" borderId="0" xfId="2" applyFont="1" applyBorder="1" applyAlignment="1" applyProtection="1">
      <alignment vertical="center" wrapText="1"/>
    </xf>
    <xf numFmtId="0" fontId="9" fillId="0" borderId="25" xfId="2" applyFont="1" applyFill="1" applyBorder="1" applyProtection="1"/>
    <xf numFmtId="15" fontId="10" fillId="0" borderId="26" xfId="2" applyNumberFormat="1" applyFont="1" applyFill="1" applyBorder="1" applyAlignment="1" applyProtection="1">
      <alignment vertical="center" wrapText="1"/>
    </xf>
    <xf numFmtId="15" fontId="8" fillId="0" borderId="26" xfId="2" applyNumberFormat="1" applyFont="1" applyFill="1" applyBorder="1" applyAlignment="1" applyProtection="1">
      <alignment vertical="center" wrapText="1"/>
    </xf>
    <xf numFmtId="0" fontId="11" fillId="0" borderId="25" xfId="2" applyFont="1" applyFill="1" applyBorder="1" applyAlignment="1" applyProtection="1">
      <alignment horizontal="center" vertical="center" wrapText="1"/>
    </xf>
    <xf numFmtId="15" fontId="8" fillId="0" borderId="27" xfId="2" applyNumberFormat="1" applyFont="1" applyFill="1" applyBorder="1" applyAlignment="1" applyProtection="1">
      <alignment vertical="center" wrapText="1"/>
    </xf>
    <xf numFmtId="0" fontId="13" fillId="4" borderId="29" xfId="2" applyFont="1" applyFill="1" applyBorder="1" applyAlignment="1" applyProtection="1">
      <alignment horizontal="center" vertical="center" wrapText="1"/>
    </xf>
    <xf numFmtId="0" fontId="13" fillId="0" borderId="29" xfId="2" applyFont="1" applyFill="1" applyBorder="1" applyAlignment="1" applyProtection="1">
      <alignment horizontal="center" vertical="center" wrapText="1"/>
    </xf>
    <xf numFmtId="0" fontId="13" fillId="2" borderId="28" xfId="2" applyFont="1" applyFill="1" applyBorder="1" applyAlignment="1" applyProtection="1">
      <alignment horizontal="center" vertical="center" wrapText="1"/>
    </xf>
    <xf numFmtId="0" fontId="11" fillId="4" borderId="29" xfId="2" applyFont="1" applyFill="1" applyBorder="1" applyAlignment="1" applyProtection="1">
      <alignment horizontal="center" vertical="center" wrapText="1"/>
    </xf>
    <xf numFmtId="0" fontId="14" fillId="0" borderId="28" xfId="2" applyFont="1" applyFill="1" applyBorder="1" applyAlignment="1" applyProtection="1">
      <alignment vertical="center" textRotation="90" wrapText="1"/>
    </xf>
    <xf numFmtId="0" fontId="1" fillId="4" borderId="29" xfId="2" applyFont="1" applyFill="1" applyBorder="1" applyAlignment="1" applyProtection="1">
      <alignment horizontal="center" vertical="top" wrapText="1"/>
    </xf>
    <xf numFmtId="0" fontId="19" fillId="0" borderId="29" xfId="2" applyFont="1" applyFill="1" applyBorder="1" applyAlignment="1" applyProtection="1">
      <alignment horizontal="left" vertical="top" wrapText="1"/>
    </xf>
    <xf numFmtId="0" fontId="14" fillId="7" borderId="28" xfId="2" applyFont="1" applyFill="1" applyBorder="1" applyAlignment="1" applyProtection="1">
      <alignment horizontal="center" vertical="center" textRotation="90" wrapText="1"/>
    </xf>
    <xf numFmtId="0" fontId="19" fillId="0" borderId="29" xfId="2" applyFont="1" applyBorder="1" applyAlignment="1" applyProtection="1">
      <alignment horizontal="left" vertical="top" wrapText="1"/>
    </xf>
    <xf numFmtId="0" fontId="8" fillId="11" borderId="35" xfId="2" applyFont="1" applyFill="1" applyBorder="1" applyAlignment="1" applyProtection="1">
      <alignment horizontal="center" vertical="top" wrapText="1"/>
    </xf>
    <xf numFmtId="0" fontId="19" fillId="0" borderId="35" xfId="2" applyFont="1" applyFill="1" applyBorder="1" applyAlignment="1" applyProtection="1">
      <alignment horizontal="left" vertical="top" wrapText="1"/>
    </xf>
    <xf numFmtId="0" fontId="19" fillId="0" borderId="36" xfId="2" applyFont="1" applyFill="1" applyBorder="1" applyAlignment="1" applyProtection="1">
      <alignment horizontal="left" vertical="top" wrapText="1"/>
    </xf>
    <xf numFmtId="0" fontId="1" fillId="0" borderId="2" xfId="1" applyFill="1" applyBorder="1" applyAlignment="1">
      <alignment wrapText="1"/>
    </xf>
    <xf numFmtId="0" fontId="27" fillId="17" borderId="18" xfId="1" applyFont="1" applyFill="1" applyBorder="1" applyAlignment="1">
      <alignment horizontal="center" vertical="top" wrapText="1"/>
    </xf>
    <xf numFmtId="0" fontId="27" fillId="17" borderId="19" xfId="1" applyFont="1" applyFill="1" applyBorder="1" applyAlignment="1">
      <alignment horizontal="center" vertical="top" wrapText="1"/>
    </xf>
    <xf numFmtId="0" fontId="28" fillId="0" borderId="13" xfId="1" applyFont="1" applyFill="1" applyBorder="1" applyAlignment="1">
      <alignment horizontal="center" vertical="center" wrapText="1"/>
    </xf>
    <xf numFmtId="0" fontId="29" fillId="0" borderId="14" xfId="1" applyFont="1" applyFill="1" applyBorder="1" applyAlignment="1">
      <alignment horizontal="center" vertical="center" wrapText="1"/>
    </xf>
    <xf numFmtId="0" fontId="31" fillId="0" borderId="13" xfId="0" applyFont="1" applyBorder="1" applyAlignment="1">
      <alignment horizontal="center"/>
    </xf>
    <xf numFmtId="0" fontId="32" fillId="0" borderId="14" xfId="0" applyFont="1" applyBorder="1" applyAlignment="1">
      <alignment horizontal="center"/>
    </xf>
    <xf numFmtId="0" fontId="9" fillId="0" borderId="10" xfId="1" applyFont="1" applyBorder="1" applyAlignment="1">
      <alignment horizontal="center"/>
    </xf>
    <xf numFmtId="0" fontId="1" fillId="0" borderId="10" xfId="1" applyBorder="1" applyAlignment="1">
      <alignment horizontal="center"/>
    </xf>
    <xf numFmtId="15" fontId="8" fillId="0" borderId="23" xfId="2" applyNumberFormat="1" applyFont="1" applyFill="1" applyBorder="1" applyAlignment="1" applyProtection="1">
      <alignment horizontal="center" vertical="center" wrapText="1"/>
    </xf>
    <xf numFmtId="15" fontId="8" fillId="0" borderId="24" xfId="2" applyNumberFormat="1" applyFont="1" applyFill="1" applyBorder="1" applyAlignment="1" applyProtection="1">
      <alignment horizontal="center" vertical="center" wrapText="1"/>
    </xf>
    <xf numFmtId="0" fontId="14" fillId="7" borderId="31" xfId="2" applyFont="1" applyFill="1" applyBorder="1" applyAlignment="1" applyProtection="1">
      <alignment horizontal="center" vertical="center" textRotation="90" wrapText="1"/>
    </xf>
    <xf numFmtId="0" fontId="14" fillId="7" borderId="33" xfId="2" applyFont="1" applyFill="1" applyBorder="1" applyAlignment="1" applyProtection="1">
      <alignment horizontal="center" vertical="center" textRotation="90" wrapText="1"/>
    </xf>
    <xf numFmtId="0" fontId="14" fillId="7" borderId="34" xfId="2" applyFont="1" applyFill="1" applyBorder="1" applyAlignment="1" applyProtection="1">
      <alignment horizontal="center" vertical="center" textRotation="90" wrapText="1"/>
    </xf>
    <xf numFmtId="0" fontId="14" fillId="7" borderId="32" xfId="2" applyFont="1" applyFill="1" applyBorder="1" applyAlignment="1" applyProtection="1">
      <alignment horizontal="center" vertical="center" textRotation="90" wrapText="1"/>
    </xf>
    <xf numFmtId="0" fontId="14" fillId="7" borderId="28" xfId="2" applyFont="1" applyFill="1" applyBorder="1" applyAlignment="1" applyProtection="1">
      <alignment horizontal="center" vertical="center" textRotation="90" wrapText="1"/>
    </xf>
    <xf numFmtId="0" fontId="13" fillId="0" borderId="30" xfId="2" applyFont="1" applyFill="1" applyBorder="1" applyAlignment="1" applyProtection="1">
      <alignment horizontal="center" vertical="center" wrapText="1"/>
    </xf>
    <xf numFmtId="0" fontId="13" fillId="0" borderId="6" xfId="2" applyFont="1" applyFill="1" applyBorder="1" applyAlignment="1" applyProtection="1">
      <alignment horizontal="center" vertical="center" wrapText="1"/>
    </xf>
    <xf numFmtId="0" fontId="12" fillId="2" borderId="28" xfId="2" applyFont="1" applyFill="1" applyBorder="1" applyAlignment="1" applyProtection="1">
      <alignment horizontal="center" vertical="center" wrapText="1"/>
    </xf>
    <xf numFmtId="0" fontId="12" fillId="2" borderId="2" xfId="2" applyFont="1" applyFill="1" applyBorder="1" applyAlignment="1" applyProtection="1">
      <alignment horizontal="center" vertical="center" wrapText="1"/>
    </xf>
    <xf numFmtId="0" fontId="12" fillId="2" borderId="29" xfId="2" applyFont="1" applyFill="1" applyBorder="1" applyAlignment="1" applyProtection="1">
      <alignment horizontal="center" vertical="center" wrapText="1"/>
    </xf>
    <xf numFmtId="0" fontId="13" fillId="0" borderId="28" xfId="2" applyFont="1" applyFill="1" applyBorder="1" applyAlignment="1" applyProtection="1">
      <alignment horizontal="center" vertical="center" wrapText="1"/>
    </xf>
    <xf numFmtId="0" fontId="13" fillId="0" borderId="2" xfId="2" applyFont="1" applyFill="1" applyBorder="1" applyAlignment="1" applyProtection="1">
      <alignment horizontal="center" vertical="center" wrapText="1"/>
    </xf>
    <xf numFmtId="0" fontId="13" fillId="0" borderId="5" xfId="2" applyFont="1" applyFill="1" applyBorder="1" applyAlignment="1" applyProtection="1">
      <alignment horizontal="center" vertical="center" wrapText="1"/>
    </xf>
    <xf numFmtId="0" fontId="13" fillId="0" borderId="3" xfId="2" applyFont="1" applyFill="1" applyBorder="1" applyAlignment="1" applyProtection="1">
      <alignment horizontal="center" vertical="center" wrapText="1"/>
    </xf>
    <xf numFmtId="0" fontId="13" fillId="6" borderId="2" xfId="2" applyFont="1" applyFill="1" applyBorder="1" applyAlignment="1" applyProtection="1">
      <alignment horizontal="center" vertical="center" wrapText="1"/>
    </xf>
    <xf numFmtId="0" fontId="13" fillId="5" borderId="2" xfId="2" applyFont="1" applyFill="1" applyBorder="1" applyAlignment="1" applyProtection="1">
      <alignment horizontal="center" vertical="center" wrapText="1"/>
    </xf>
    <xf numFmtId="0" fontId="38" fillId="17" borderId="18" xfId="0" applyFont="1" applyFill="1" applyBorder="1" applyAlignment="1">
      <alignment horizontal="center" vertical="center"/>
    </xf>
    <xf numFmtId="0" fontId="38" fillId="17" borderId="19" xfId="0" applyFont="1" applyFill="1" applyBorder="1" applyAlignment="1">
      <alignment horizontal="center" vertical="center"/>
    </xf>
    <xf numFmtId="0" fontId="12" fillId="2" borderId="5" xfId="1" applyFont="1" applyFill="1" applyBorder="1" applyAlignment="1">
      <alignment horizontal="center" vertical="center"/>
    </xf>
    <xf numFmtId="0" fontId="12" fillId="2" borderId="3" xfId="1" applyFont="1" applyFill="1" applyBorder="1" applyAlignment="1">
      <alignment horizontal="center" vertical="center"/>
    </xf>
    <xf numFmtId="0" fontId="12" fillId="2" borderId="6" xfId="1" applyFont="1" applyFill="1" applyBorder="1" applyAlignment="1">
      <alignment horizontal="center" vertical="center"/>
    </xf>
    <xf numFmtId="0" fontId="12" fillId="2" borderId="5" xfId="1" applyFont="1" applyFill="1" applyBorder="1" applyAlignment="1">
      <alignment horizontal="center" vertical="top" wrapText="1"/>
    </xf>
    <xf numFmtId="0" fontId="12" fillId="2" borderId="3" xfId="1" applyFont="1" applyFill="1" applyBorder="1" applyAlignment="1">
      <alignment horizontal="center" vertical="top" wrapText="1"/>
    </xf>
    <xf numFmtId="0" fontId="14" fillId="7" borderId="20" xfId="0" applyFont="1" applyFill="1" applyBorder="1" applyAlignment="1">
      <alignment horizontal="center" vertical="center" textRotation="90" wrapText="1"/>
    </xf>
    <xf numFmtId="0" fontId="14" fillId="7" borderId="21" xfId="0" applyFont="1" applyFill="1" applyBorder="1" applyAlignment="1">
      <alignment horizontal="center" vertical="center" textRotation="90" wrapText="1"/>
    </xf>
    <xf numFmtId="0" fontId="14" fillId="7" borderId="22" xfId="0" applyFont="1" applyFill="1" applyBorder="1" applyAlignment="1">
      <alignment horizontal="center" vertical="center" textRotation="90" wrapText="1"/>
    </xf>
    <xf numFmtId="0" fontId="12" fillId="0" borderId="2" xfId="0" applyFont="1" applyFill="1" applyBorder="1" applyAlignment="1">
      <alignment horizontal="center" vertical="center" wrapText="1"/>
    </xf>
    <xf numFmtId="0" fontId="12" fillId="6" borderId="2" xfId="0" applyFont="1" applyFill="1" applyBorder="1" applyAlignment="1">
      <alignment horizontal="center" vertical="center" wrapText="1"/>
    </xf>
    <xf numFmtId="0" fontId="12" fillId="5" borderId="2" xfId="0" applyFont="1" applyFill="1" applyBorder="1" applyAlignment="1">
      <alignment horizontal="center" vertical="center" wrapText="1"/>
    </xf>
    <xf numFmtId="0" fontId="14" fillId="7" borderId="2" xfId="0" applyFont="1" applyFill="1" applyBorder="1" applyAlignment="1">
      <alignment horizontal="center" vertical="center" textRotation="90" wrapText="1"/>
    </xf>
    <xf numFmtId="0" fontId="14" fillId="7" borderId="4" xfId="0" applyFont="1" applyFill="1" applyBorder="1" applyAlignment="1">
      <alignment horizontal="center" vertical="center" textRotation="90" wrapText="1"/>
    </xf>
    <xf numFmtId="0" fontId="14" fillId="7" borderId="0" xfId="0" applyFont="1" applyFill="1" applyBorder="1" applyAlignment="1">
      <alignment horizontal="center" vertical="center" textRotation="90" wrapText="1"/>
    </xf>
    <xf numFmtId="0" fontId="14" fillId="7" borderId="10" xfId="0" applyFont="1" applyFill="1" applyBorder="1" applyAlignment="1">
      <alignment horizontal="center" vertical="center" textRotation="90" wrapText="1"/>
    </xf>
    <xf numFmtId="0" fontId="14" fillId="7" borderId="1" xfId="0" applyFont="1" applyFill="1" applyBorder="1" applyAlignment="1">
      <alignment horizontal="center" vertical="center" textRotation="90" wrapText="1"/>
    </xf>
    <xf numFmtId="0" fontId="14" fillId="7" borderId="11" xfId="0" applyFont="1" applyFill="1" applyBorder="1" applyAlignment="1">
      <alignment horizontal="center" vertical="center" textRotation="90" wrapText="1"/>
    </xf>
    <xf numFmtId="0" fontId="14" fillId="7" borderId="9" xfId="0" applyFont="1" applyFill="1" applyBorder="1" applyAlignment="1">
      <alignment horizontal="center" vertical="center" textRotation="90" wrapText="1"/>
    </xf>
    <xf numFmtId="0" fontId="14" fillId="7" borderId="1" xfId="0" applyFont="1" applyFill="1" applyBorder="1" applyAlignment="1">
      <alignment horizontal="center" vertical="center" textRotation="90"/>
    </xf>
    <xf numFmtId="0" fontId="14" fillId="7" borderId="11" xfId="0" applyFont="1" applyFill="1" applyBorder="1" applyAlignment="1">
      <alignment horizontal="center" vertical="center" textRotation="90"/>
    </xf>
    <xf numFmtId="0" fontId="21" fillId="0" borderId="0" xfId="1" applyFont="1" applyFill="1" applyAlignment="1">
      <alignment vertical="top"/>
    </xf>
    <xf numFmtId="0" fontId="20" fillId="0" borderId="0" xfId="1" applyFont="1" applyFill="1" applyAlignment="1" applyProtection="1">
      <alignment horizontal="left" vertical="top"/>
      <protection locked="0"/>
    </xf>
    <xf numFmtId="0" fontId="1" fillId="0" borderId="0" xfId="1" applyFont="1" applyFill="1" applyAlignment="1">
      <alignment vertical="top"/>
    </xf>
    <xf numFmtId="0" fontId="22" fillId="0" borderId="0" xfId="1" applyFont="1" applyFill="1" applyAlignment="1" applyProtection="1">
      <alignment horizontal="left" vertical="top"/>
      <protection locked="0"/>
    </xf>
    <xf numFmtId="0" fontId="21" fillId="0" borderId="0" xfId="1" applyFont="1" applyAlignment="1">
      <alignment vertical="top"/>
    </xf>
    <xf numFmtId="0" fontId="21" fillId="0" borderId="0" xfId="1" applyFont="1" applyFill="1" applyAlignment="1">
      <alignment horizontal="left" vertical="top"/>
    </xf>
    <xf numFmtId="0" fontId="21" fillId="0" borderId="0" xfId="1" applyFont="1" applyAlignment="1">
      <alignment horizontal="left" vertical="top" wrapText="1"/>
    </xf>
  </cellXfs>
  <cellStyles count="7">
    <cellStyle name="Normal" xfId="0" builtinId="0"/>
    <cellStyle name="Normal 2" xfId="1" xr:uid="{00000000-0005-0000-0000-000001000000}"/>
    <cellStyle name="Normal 2 2" xfId="2" xr:uid="{00000000-0005-0000-0000-000002000000}"/>
    <cellStyle name="Normal 2 2 2" xfId="5" xr:uid="{00000000-0005-0000-0000-000003000000}"/>
    <cellStyle name="Normal 2 3" xfId="4" xr:uid="{00000000-0005-0000-0000-000004000000}"/>
    <cellStyle name="Normal 2 3 2" xfId="6" xr:uid="{00000000-0005-0000-0000-000005000000}"/>
    <cellStyle name="Normal 3" xfId="3" xr:uid="{00000000-0005-0000-0000-000006000000}"/>
  </cellStyles>
  <dxfs count="1867">
    <dxf>
      <fill>
        <patternFill>
          <bgColor theme="7" tint="0.79998168889431442"/>
        </patternFill>
      </fill>
    </dxf>
    <dxf>
      <fill>
        <patternFill>
          <bgColor theme="8" tint="0.79998168889431442"/>
        </patternFill>
      </fill>
    </dxf>
    <dxf>
      <fill>
        <patternFill>
          <bgColor theme="9" tint="0.79998168889431442"/>
        </patternFill>
      </fill>
    </dxf>
    <dxf>
      <fill>
        <patternFill>
          <bgColor theme="4" tint="0.39994506668294322"/>
        </patternFill>
      </fill>
    </dxf>
    <dxf>
      <fill>
        <patternFill>
          <bgColor theme="7" tint="0.39994506668294322"/>
        </patternFill>
      </fill>
    </dxf>
    <dxf>
      <fill>
        <patternFill>
          <bgColor theme="5" tint="0.39994506668294322"/>
        </patternFill>
      </fill>
    </dxf>
    <dxf>
      <fill>
        <patternFill>
          <bgColor theme="4" tint="-0.24994659260841701"/>
        </patternFill>
      </fill>
    </dxf>
    <dxf>
      <fill>
        <patternFill>
          <bgColor theme="6" tint="0.39994506668294322"/>
        </patternFill>
      </fill>
    </dxf>
    <dxf>
      <fill>
        <patternFill>
          <bgColor theme="3" tint="0.39994506668294322"/>
        </patternFill>
      </fill>
    </dxf>
    <dxf>
      <fill>
        <patternFill>
          <bgColor rgb="FF92D050"/>
        </patternFill>
      </fill>
    </dxf>
    <dxf>
      <alignment wrapText="1"/>
    </dxf>
    <dxf>
      <alignment wrapText="0"/>
    </dxf>
    <dxf>
      <alignment wrapText="1"/>
    </dxf>
    <dxf>
      <alignment wrapText="0"/>
    </dxf>
    <dxf>
      <alignment wrapText="1"/>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1"/>
    </dxf>
    <dxf>
      <alignment wrapText="0"/>
    </dxf>
    <dxf>
      <font>
        <b/>
      </font>
    </dxf>
    <dxf>
      <alignment wrapText="1"/>
    </dxf>
    <dxf>
      <font>
        <b/>
      </font>
    </dxf>
    <dxf>
      <alignment wrapText="1"/>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font>
        <b val="0"/>
        <i val="0"/>
        <strike val="0"/>
        <condense val="0"/>
        <extend val="0"/>
        <outline val="0"/>
        <shadow val="0"/>
        <u val="none"/>
        <vertAlign val="baseline"/>
        <sz val="11"/>
        <color auto="1"/>
        <name val="Arial"/>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right/>
        <top/>
        <bottom/>
      </border>
      <protection locked="0" hidden="0"/>
    </dxf>
    <dxf>
      <font>
        <b val="0"/>
        <i val="0"/>
        <strike val="0"/>
        <condense val="0"/>
        <extend val="0"/>
        <outline val="0"/>
        <shadow val="0"/>
        <u val="none"/>
        <vertAlign val="baseline"/>
        <sz val="9"/>
        <color auto="1"/>
        <name val="Arial"/>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4"/>
        <color auto="1"/>
        <name val="Times New Roman"/>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outline="0">
        <left/>
        <right/>
        <top/>
        <bottom/>
      </border>
      <protection locked="0" hidden="0"/>
    </dxf>
    <dxf>
      <font>
        <b/>
        <i val="0"/>
        <strike val="0"/>
        <condense val="0"/>
        <extend val="0"/>
        <outline val="0"/>
        <shadow val="0"/>
        <u val="none"/>
        <vertAlign val="baseline"/>
        <sz val="12"/>
        <color theme="1"/>
        <name val="Arial Black"/>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medium">
          <color indexed="64"/>
        </left>
        <right style="medium">
          <color indexed="64"/>
        </right>
        <top/>
        <bottom/>
      </border>
      <protection locked="0" hidden="0"/>
    </dxf>
    <dxf>
      <font>
        <b/>
        <i val="0"/>
        <strike val="0"/>
        <condense val="0"/>
        <extend val="0"/>
        <outline val="0"/>
        <shadow val="0"/>
        <u val="none"/>
        <vertAlign val="baseline"/>
        <sz val="9"/>
        <color theme="1"/>
        <name val="Arial Black"/>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4"/>
        <color auto="1"/>
        <name val="Times New Roman"/>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outline="0">
        <left style="medium">
          <color indexed="64"/>
        </left>
        <right/>
        <top/>
        <bottom/>
      </border>
      <protection locked="0" hidden="0"/>
    </dxf>
    <dxf>
      <font>
        <strike val="0"/>
        <outline val="0"/>
        <shadow val="0"/>
        <u val="none"/>
        <vertAlign val="baseline"/>
        <sz val="9"/>
      </font>
    </dxf>
    <dxf>
      <font>
        <strike val="0"/>
        <outline val="0"/>
        <shadow val="0"/>
        <u val="none"/>
        <vertAlign val="baseline"/>
        <sz val="9"/>
      </font>
    </dxf>
    <dxf>
      <font>
        <b/>
        <i val="0"/>
        <strike val="0"/>
        <condense val="0"/>
        <extend val="0"/>
        <outline val="0"/>
        <shadow val="0"/>
        <u val="none"/>
        <vertAlign val="baseline"/>
        <sz val="9"/>
        <color auto="1"/>
        <name val="Times New Roman"/>
        <scheme val="none"/>
      </font>
      <alignment horizontal="center" vertical="top" textRotation="0" wrapText="1"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1011555</xdr:colOff>
      <xdr:row>2</xdr:row>
      <xdr:rowOff>283844</xdr:rowOff>
    </xdr:from>
    <xdr:to>
      <xdr:col>6</xdr:col>
      <xdr:colOff>442727</xdr:colOff>
      <xdr:row>4</xdr:row>
      <xdr:rowOff>592</xdr:rowOff>
    </xdr:to>
    <xdr:sp macro="[0]!ShowMilestoneA" textlink="">
      <xdr:nvSpPr>
        <xdr:cNvPr id="2" name="AutoShape 1">
          <a:extLst>
            <a:ext uri="{FF2B5EF4-FFF2-40B4-BE49-F238E27FC236}">
              <a16:creationId xmlns:a16="http://schemas.microsoft.com/office/drawing/2014/main" id="{00000000-0008-0000-0500-000002000000}"/>
            </a:ext>
          </a:extLst>
        </xdr:cNvPr>
        <xdr:cNvSpPr>
          <a:spLocks noChangeArrowheads="1"/>
        </xdr:cNvSpPr>
      </xdr:nvSpPr>
      <xdr:spPr bwMode="auto">
        <a:xfrm>
          <a:off x="7688580" y="836294"/>
          <a:ext cx="898022" cy="707348"/>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A</a:t>
          </a:r>
          <a:endParaRPr lang="en-US" sz="1800" b="0" i="0" strike="noStrike">
            <a:solidFill>
              <a:srgbClr val="FF0000"/>
            </a:solidFill>
            <a:latin typeface="Arial"/>
            <a:cs typeface="Arial"/>
          </a:endParaRPr>
        </a:p>
      </xdr:txBody>
    </xdr:sp>
    <xdr:clientData/>
  </xdr:twoCellAnchor>
  <xdr:twoCellAnchor>
    <xdr:from>
      <xdr:col>10</xdr:col>
      <xdr:colOff>1066800</xdr:colOff>
      <xdr:row>2</xdr:row>
      <xdr:rowOff>371475</xdr:rowOff>
    </xdr:from>
    <xdr:to>
      <xdr:col>11</xdr:col>
      <xdr:colOff>409575</xdr:colOff>
      <xdr:row>4</xdr:row>
      <xdr:rowOff>38100</xdr:rowOff>
    </xdr:to>
    <xdr:grpSp>
      <xdr:nvGrpSpPr>
        <xdr:cNvPr id="1399" name="Group 7">
          <a:extLst>
            <a:ext uri="{FF2B5EF4-FFF2-40B4-BE49-F238E27FC236}">
              <a16:creationId xmlns:a16="http://schemas.microsoft.com/office/drawing/2014/main" id="{00000000-0008-0000-0500-000077050000}"/>
            </a:ext>
          </a:extLst>
        </xdr:cNvPr>
        <xdr:cNvGrpSpPr>
          <a:grpSpLocks/>
        </xdr:cNvGrpSpPr>
      </xdr:nvGrpSpPr>
      <xdr:grpSpPr bwMode="auto">
        <a:xfrm>
          <a:off x="15110883" y="942975"/>
          <a:ext cx="813859" cy="661458"/>
          <a:chOff x="21328856" y="1562101"/>
          <a:chExt cx="521187" cy="438302"/>
        </a:xfrm>
      </xdr:grpSpPr>
      <xdr:sp macro="" textlink="">
        <xdr:nvSpPr>
          <xdr:cNvPr id="4" name="Diamond 3">
            <a:extLst>
              <a:ext uri="{FF2B5EF4-FFF2-40B4-BE49-F238E27FC236}">
                <a16:creationId xmlns:a16="http://schemas.microsoft.com/office/drawing/2014/main" id="{00000000-0008-0000-0500-000004000000}"/>
              </a:ext>
            </a:extLst>
          </xdr:cNvPr>
          <xdr:cNvSpPr/>
        </xdr:nvSpPr>
        <xdr:spPr>
          <a:xfrm>
            <a:off x="21328856" y="1562101"/>
            <a:ext cx="502792" cy="406541"/>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sp macro="[0]!ShowMilestoneFRP" textlink="">
        <xdr:nvSpPr>
          <xdr:cNvPr id="5" name="TextBox 4">
            <a:extLst>
              <a:ext uri="{FF2B5EF4-FFF2-40B4-BE49-F238E27FC236}">
                <a16:creationId xmlns:a16="http://schemas.microsoft.com/office/drawing/2014/main" id="{00000000-0008-0000-0500-000005000000}"/>
              </a:ext>
            </a:extLst>
          </xdr:cNvPr>
          <xdr:cNvSpPr txBox="1"/>
        </xdr:nvSpPr>
        <xdr:spPr>
          <a:xfrm>
            <a:off x="21328856" y="1657384"/>
            <a:ext cx="521187" cy="343019"/>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tlCol="0" anchor="t">
            <a:noAutofit/>
          </a:bodyPr>
          <a:lstStyle/>
          <a:p>
            <a:r>
              <a:rPr lang="en-US" sz="1600" b="1">
                <a:solidFill>
                  <a:schemeClr val="bg1"/>
                </a:solidFill>
              </a:rPr>
              <a:t>     FRP</a:t>
            </a:r>
          </a:p>
        </xdr:txBody>
      </xdr:sp>
    </xdr:grpSp>
    <xdr:clientData/>
  </xdr:twoCellAnchor>
  <xdr:twoCellAnchor>
    <xdr:from>
      <xdr:col>7</xdr:col>
      <xdr:colOff>1019175</xdr:colOff>
      <xdr:row>2</xdr:row>
      <xdr:rowOff>299720</xdr:rowOff>
    </xdr:from>
    <xdr:to>
      <xdr:col>8</xdr:col>
      <xdr:colOff>458529</xdr:colOff>
      <xdr:row>4</xdr:row>
      <xdr:rowOff>533</xdr:rowOff>
    </xdr:to>
    <xdr:sp macro="[0]!ShowMilestoneB" textlink="">
      <xdr:nvSpPr>
        <xdr:cNvPr id="6" name="AutoShape 1">
          <a:extLst>
            <a:ext uri="{FF2B5EF4-FFF2-40B4-BE49-F238E27FC236}">
              <a16:creationId xmlns:a16="http://schemas.microsoft.com/office/drawing/2014/main" id="{00000000-0008-0000-0500-000006000000}"/>
            </a:ext>
          </a:extLst>
        </xdr:cNvPr>
        <xdr:cNvSpPr>
          <a:spLocks noChangeArrowheads="1"/>
        </xdr:cNvSpPr>
      </xdr:nvSpPr>
      <xdr:spPr bwMode="auto">
        <a:xfrm>
          <a:off x="10629900" y="852170"/>
          <a:ext cx="906204" cy="691413"/>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B</a:t>
          </a:r>
          <a:endParaRPr lang="en-US" sz="1800" b="0" i="0" strike="noStrike">
            <a:solidFill>
              <a:srgbClr val="FF0000"/>
            </a:solidFill>
            <a:latin typeface="Arial"/>
            <a:cs typeface="Arial"/>
          </a:endParaRPr>
        </a:p>
      </xdr:txBody>
    </xdr:sp>
    <xdr:clientData/>
  </xdr:twoCellAnchor>
  <xdr:twoCellAnchor>
    <xdr:from>
      <xdr:col>9</xdr:col>
      <xdr:colOff>1011555</xdr:colOff>
      <xdr:row>2</xdr:row>
      <xdr:rowOff>299720</xdr:rowOff>
    </xdr:from>
    <xdr:to>
      <xdr:col>10</xdr:col>
      <xdr:colOff>442851</xdr:colOff>
      <xdr:row>4</xdr:row>
      <xdr:rowOff>533</xdr:rowOff>
    </xdr:to>
    <xdr:sp macro="[0]!ShowMilestoneC" textlink="">
      <xdr:nvSpPr>
        <xdr:cNvPr id="7" name="AutoShape 1">
          <a:extLst>
            <a:ext uri="{FF2B5EF4-FFF2-40B4-BE49-F238E27FC236}">
              <a16:creationId xmlns:a16="http://schemas.microsoft.com/office/drawing/2014/main" id="{00000000-0008-0000-0500-000007000000}"/>
            </a:ext>
          </a:extLst>
        </xdr:cNvPr>
        <xdr:cNvSpPr>
          <a:spLocks noChangeArrowheads="1"/>
        </xdr:cNvSpPr>
      </xdr:nvSpPr>
      <xdr:spPr bwMode="auto">
        <a:xfrm>
          <a:off x="13555980" y="852170"/>
          <a:ext cx="898146" cy="691413"/>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C</a:t>
          </a:r>
          <a:endParaRPr lang="en-US" sz="1800" b="0" i="0" strike="noStrike">
            <a:solidFill>
              <a:srgbClr val="FF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95250</xdr:colOff>
          <xdr:row>0</xdr:row>
          <xdr:rowOff>57150</xdr:rowOff>
        </xdr:from>
        <xdr:to>
          <xdr:col>2</xdr:col>
          <xdr:colOff>1104900</xdr:colOff>
          <xdr:row>0</xdr:row>
          <xdr:rowOff>247650</xdr:rowOff>
        </xdr:to>
        <xdr:sp macro="" textlink="">
          <xdr:nvSpPr>
            <xdr:cNvPr id="1025" name="ckbenablepopuptext"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Enable Pop-Up Text</a:t>
              </a:r>
            </a:p>
          </xdr:txBody>
        </xdr:sp>
        <xdr:clientData/>
      </xdr:twoCellAnchor>
    </mc:Choice>
    <mc:Fallback/>
  </mc:AlternateContent>
  <xdr:twoCellAnchor>
    <xdr:from>
      <xdr:col>4</xdr:col>
      <xdr:colOff>1115786</xdr:colOff>
      <xdr:row>3</xdr:row>
      <xdr:rowOff>18143</xdr:rowOff>
    </xdr:from>
    <xdr:to>
      <xdr:col>5</xdr:col>
      <xdr:colOff>430450</xdr:colOff>
      <xdr:row>3</xdr:row>
      <xdr:rowOff>475343</xdr:rowOff>
    </xdr:to>
    <xdr:sp macro="" textlink="">
      <xdr:nvSpPr>
        <xdr:cNvPr id="9" name="Diamond 8">
          <a:extLst>
            <a:ext uri="{FF2B5EF4-FFF2-40B4-BE49-F238E27FC236}">
              <a16:creationId xmlns:a16="http://schemas.microsoft.com/office/drawing/2014/main" id="{00000000-0008-0000-0500-000009000000}"/>
            </a:ext>
          </a:extLst>
        </xdr:cNvPr>
        <xdr:cNvSpPr>
          <a:spLocks noChangeAspect="1"/>
        </xdr:cNvSpPr>
      </xdr:nvSpPr>
      <xdr:spPr bwMode="auto">
        <a:xfrm>
          <a:off x="6567715" y="1070429"/>
          <a:ext cx="847735"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MDD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1902535</xdr:colOff>
      <xdr:row>3</xdr:row>
      <xdr:rowOff>24652</xdr:rowOff>
    </xdr:from>
    <xdr:to>
      <xdr:col>6</xdr:col>
      <xdr:colOff>405877</xdr:colOff>
      <xdr:row>3</xdr:row>
      <xdr:rowOff>481852</xdr:rowOff>
    </xdr:to>
    <xdr:sp macro="" textlink="">
      <xdr:nvSpPr>
        <xdr:cNvPr id="2" name="AutoShape 1">
          <a:extLst>
            <a:ext uri="{FF2B5EF4-FFF2-40B4-BE49-F238E27FC236}">
              <a16:creationId xmlns:a16="http://schemas.microsoft.com/office/drawing/2014/main" id="{00000000-0008-0000-0800-000002000000}"/>
            </a:ext>
          </a:extLst>
        </xdr:cNvPr>
        <xdr:cNvSpPr>
          <a:spLocks noChangeAspect="1" noChangeArrowheads="1"/>
        </xdr:cNvSpPr>
      </xdr:nvSpPr>
      <xdr:spPr bwMode="auto">
        <a:xfrm>
          <a:off x="11573585" y="748552"/>
          <a:ext cx="929042"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marL="0" indent="0" algn="l" rtl="0">
            <a:defRPr sz="1000"/>
          </a:pPr>
          <a:r>
            <a:rPr lang="en-US" sz="1600" b="1" i="0" strike="noStrike">
              <a:solidFill>
                <a:schemeClr val="bg1"/>
              </a:solidFill>
              <a:latin typeface="Arial"/>
              <a:ea typeface="+mn-ea"/>
              <a:cs typeface="Arial"/>
            </a:rPr>
            <a:t>A</a:t>
          </a:r>
        </a:p>
      </xdr:txBody>
    </xdr:sp>
    <xdr:clientData/>
  </xdr:twoCellAnchor>
  <xdr:twoCellAnchor>
    <xdr:from>
      <xdr:col>10</xdr:col>
      <xdr:colOff>1953763</xdr:colOff>
      <xdr:row>3</xdr:row>
      <xdr:rowOff>24095</xdr:rowOff>
    </xdr:from>
    <xdr:to>
      <xdr:col>11</xdr:col>
      <xdr:colOff>375798</xdr:colOff>
      <xdr:row>3</xdr:row>
      <xdr:rowOff>481295</xdr:rowOff>
    </xdr:to>
    <xdr:sp macro="" textlink="">
      <xdr:nvSpPr>
        <xdr:cNvPr id="3" name="Diamond 2">
          <a:extLst>
            <a:ext uri="{FF2B5EF4-FFF2-40B4-BE49-F238E27FC236}">
              <a16:creationId xmlns:a16="http://schemas.microsoft.com/office/drawing/2014/main" id="{00000000-0008-0000-0800-000003000000}"/>
            </a:ext>
          </a:extLst>
        </xdr:cNvPr>
        <xdr:cNvSpPr>
          <a:spLocks noChangeAspect="1"/>
        </xdr:cNvSpPr>
      </xdr:nvSpPr>
      <xdr:spPr bwMode="auto">
        <a:xfrm>
          <a:off x="23753313" y="747995"/>
          <a:ext cx="847735"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FRP</a:t>
          </a:r>
        </a:p>
      </xdr:txBody>
    </xdr:sp>
    <xdr:clientData/>
  </xdr:twoCellAnchor>
  <xdr:twoCellAnchor>
    <xdr:from>
      <xdr:col>9</xdr:col>
      <xdr:colOff>1899676</xdr:colOff>
      <xdr:row>3</xdr:row>
      <xdr:rowOff>27081</xdr:rowOff>
    </xdr:from>
    <xdr:to>
      <xdr:col>10</xdr:col>
      <xdr:colOff>398992</xdr:colOff>
      <xdr:row>3</xdr:row>
      <xdr:rowOff>484281</xdr:rowOff>
    </xdr:to>
    <xdr:sp macro="" textlink="">
      <xdr:nvSpPr>
        <xdr:cNvPr id="4" name="AutoShape 1">
          <a:extLst>
            <a:ext uri="{FF2B5EF4-FFF2-40B4-BE49-F238E27FC236}">
              <a16:creationId xmlns:a16="http://schemas.microsoft.com/office/drawing/2014/main" id="{00000000-0008-0000-0800-000004000000}"/>
            </a:ext>
          </a:extLst>
        </xdr:cNvPr>
        <xdr:cNvSpPr>
          <a:spLocks noChangeAspect="1" noChangeArrowheads="1"/>
        </xdr:cNvSpPr>
      </xdr:nvSpPr>
      <xdr:spPr bwMode="auto">
        <a:xfrm>
          <a:off x="21273526" y="750981"/>
          <a:ext cx="925016"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algn="l" rtl="0">
            <a:defRPr sz="1000"/>
          </a:pPr>
          <a:r>
            <a:rPr lang="en-US" sz="1600" b="1" i="0" strike="noStrike">
              <a:solidFill>
                <a:schemeClr val="bg1"/>
              </a:solidFill>
              <a:latin typeface="Arial"/>
              <a:cs typeface="Arial"/>
            </a:rPr>
            <a:t>C</a:t>
          </a:r>
          <a:endParaRPr lang="en-US" sz="1800" b="0" i="0" strike="noStrike">
            <a:solidFill>
              <a:srgbClr val="FF0000"/>
            </a:solidFill>
            <a:latin typeface="Arial"/>
            <a:cs typeface="Arial"/>
          </a:endParaRPr>
        </a:p>
      </xdr:txBody>
    </xdr:sp>
    <xdr:clientData/>
  </xdr:twoCellAnchor>
  <xdr:twoCellAnchor>
    <xdr:from>
      <xdr:col>7</xdr:col>
      <xdr:colOff>1906663</xdr:colOff>
      <xdr:row>3</xdr:row>
      <xdr:rowOff>24653</xdr:rowOff>
    </xdr:from>
    <xdr:to>
      <xdr:col>8</xdr:col>
      <xdr:colOff>410005</xdr:colOff>
      <xdr:row>3</xdr:row>
      <xdr:rowOff>481853</xdr:rowOff>
    </xdr:to>
    <xdr:sp macro="" textlink="">
      <xdr:nvSpPr>
        <xdr:cNvPr id="5" name="AutoShape 1">
          <a:extLst>
            <a:ext uri="{FF2B5EF4-FFF2-40B4-BE49-F238E27FC236}">
              <a16:creationId xmlns:a16="http://schemas.microsoft.com/office/drawing/2014/main" id="{00000000-0008-0000-0800-000005000000}"/>
            </a:ext>
          </a:extLst>
        </xdr:cNvPr>
        <xdr:cNvSpPr>
          <a:spLocks noChangeAspect="1" noChangeArrowheads="1"/>
        </xdr:cNvSpPr>
      </xdr:nvSpPr>
      <xdr:spPr bwMode="auto">
        <a:xfrm>
          <a:off x="16429113" y="748553"/>
          <a:ext cx="929042"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marL="0" indent="0" algn="l" rtl="0">
            <a:defRPr sz="1000"/>
          </a:pPr>
          <a:r>
            <a:rPr lang="en-US" sz="1600" b="1" i="0" strike="noStrike">
              <a:solidFill>
                <a:schemeClr val="bg1"/>
              </a:solidFill>
              <a:latin typeface="Arial"/>
              <a:ea typeface="+mn-ea"/>
              <a:cs typeface="Arial"/>
            </a:rPr>
            <a:t>B</a:t>
          </a:r>
        </a:p>
      </xdr:txBody>
    </xdr:sp>
    <xdr:clientData/>
  </xdr:twoCellAnchor>
  <xdr:twoCellAnchor>
    <xdr:from>
      <xdr:col>4</xdr:col>
      <xdr:colOff>1961030</xdr:colOff>
      <xdr:row>3</xdr:row>
      <xdr:rowOff>33617</xdr:rowOff>
    </xdr:from>
    <xdr:to>
      <xdr:col>5</xdr:col>
      <xdr:colOff>383065</xdr:colOff>
      <xdr:row>3</xdr:row>
      <xdr:rowOff>490817</xdr:rowOff>
    </xdr:to>
    <xdr:sp macro="" textlink="">
      <xdr:nvSpPr>
        <xdr:cNvPr id="6" name="Diamond 5">
          <a:extLst>
            <a:ext uri="{FF2B5EF4-FFF2-40B4-BE49-F238E27FC236}">
              <a16:creationId xmlns:a16="http://schemas.microsoft.com/office/drawing/2014/main" id="{00000000-0008-0000-0800-000006000000}"/>
            </a:ext>
          </a:extLst>
        </xdr:cNvPr>
        <xdr:cNvSpPr>
          <a:spLocks noChangeAspect="1"/>
        </xdr:cNvSpPr>
      </xdr:nvSpPr>
      <xdr:spPr bwMode="auto">
        <a:xfrm>
          <a:off x="9206380" y="757517"/>
          <a:ext cx="847735"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MDD</a:t>
          </a:r>
        </a:p>
      </xdr:txBody>
    </xdr:sp>
    <xdr:clientData/>
  </xdr:twoCellAnchor>
  <xdr:twoCellAnchor>
    <xdr:from>
      <xdr:col>5</xdr:col>
      <xdr:colOff>1902535</xdr:colOff>
      <xdr:row>3</xdr:row>
      <xdr:rowOff>24652</xdr:rowOff>
    </xdr:from>
    <xdr:to>
      <xdr:col>6</xdr:col>
      <xdr:colOff>405877</xdr:colOff>
      <xdr:row>3</xdr:row>
      <xdr:rowOff>481852</xdr:rowOff>
    </xdr:to>
    <xdr:sp macro="" textlink="">
      <xdr:nvSpPr>
        <xdr:cNvPr id="7" name="AutoShape 1">
          <a:extLst>
            <a:ext uri="{FF2B5EF4-FFF2-40B4-BE49-F238E27FC236}">
              <a16:creationId xmlns:a16="http://schemas.microsoft.com/office/drawing/2014/main" id="{00000000-0008-0000-0800-000007000000}"/>
            </a:ext>
          </a:extLst>
        </xdr:cNvPr>
        <xdr:cNvSpPr>
          <a:spLocks noChangeAspect="1" noChangeArrowheads="1"/>
        </xdr:cNvSpPr>
      </xdr:nvSpPr>
      <xdr:spPr bwMode="auto">
        <a:xfrm>
          <a:off x="11573585" y="748552"/>
          <a:ext cx="929042"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marL="0" indent="0" algn="l" rtl="0">
            <a:defRPr sz="1000"/>
          </a:pPr>
          <a:r>
            <a:rPr lang="en-US" sz="1600" b="1" i="0" strike="noStrike">
              <a:solidFill>
                <a:schemeClr val="bg1"/>
              </a:solidFill>
              <a:latin typeface="Arial"/>
              <a:ea typeface="+mn-ea"/>
              <a:cs typeface="Arial"/>
            </a:rPr>
            <a:t>A</a:t>
          </a:r>
        </a:p>
      </xdr:txBody>
    </xdr:sp>
    <xdr:clientData/>
  </xdr:twoCellAnchor>
  <xdr:twoCellAnchor>
    <xdr:from>
      <xdr:col>10</xdr:col>
      <xdr:colOff>1953763</xdr:colOff>
      <xdr:row>3</xdr:row>
      <xdr:rowOff>24095</xdr:rowOff>
    </xdr:from>
    <xdr:to>
      <xdr:col>11</xdr:col>
      <xdr:colOff>375798</xdr:colOff>
      <xdr:row>3</xdr:row>
      <xdr:rowOff>481295</xdr:rowOff>
    </xdr:to>
    <xdr:sp macro="" textlink="">
      <xdr:nvSpPr>
        <xdr:cNvPr id="8" name="Diamond 7">
          <a:extLst>
            <a:ext uri="{FF2B5EF4-FFF2-40B4-BE49-F238E27FC236}">
              <a16:creationId xmlns:a16="http://schemas.microsoft.com/office/drawing/2014/main" id="{00000000-0008-0000-0800-000008000000}"/>
            </a:ext>
          </a:extLst>
        </xdr:cNvPr>
        <xdr:cNvSpPr>
          <a:spLocks noChangeAspect="1"/>
        </xdr:cNvSpPr>
      </xdr:nvSpPr>
      <xdr:spPr bwMode="auto">
        <a:xfrm>
          <a:off x="23753313" y="747995"/>
          <a:ext cx="847735"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FRP</a:t>
          </a:r>
        </a:p>
      </xdr:txBody>
    </xdr:sp>
    <xdr:clientData/>
  </xdr:twoCellAnchor>
  <xdr:twoCellAnchor>
    <xdr:from>
      <xdr:col>9</xdr:col>
      <xdr:colOff>1899676</xdr:colOff>
      <xdr:row>3</xdr:row>
      <xdr:rowOff>27081</xdr:rowOff>
    </xdr:from>
    <xdr:to>
      <xdr:col>10</xdr:col>
      <xdr:colOff>398992</xdr:colOff>
      <xdr:row>3</xdr:row>
      <xdr:rowOff>484281</xdr:rowOff>
    </xdr:to>
    <xdr:sp macro="" textlink="">
      <xdr:nvSpPr>
        <xdr:cNvPr id="9" name="AutoShape 1">
          <a:extLst>
            <a:ext uri="{FF2B5EF4-FFF2-40B4-BE49-F238E27FC236}">
              <a16:creationId xmlns:a16="http://schemas.microsoft.com/office/drawing/2014/main" id="{00000000-0008-0000-0800-000009000000}"/>
            </a:ext>
          </a:extLst>
        </xdr:cNvPr>
        <xdr:cNvSpPr>
          <a:spLocks noChangeAspect="1" noChangeArrowheads="1"/>
        </xdr:cNvSpPr>
      </xdr:nvSpPr>
      <xdr:spPr bwMode="auto">
        <a:xfrm>
          <a:off x="21273526" y="750981"/>
          <a:ext cx="925016"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algn="l" rtl="0">
            <a:defRPr sz="1000"/>
          </a:pPr>
          <a:r>
            <a:rPr lang="en-US" sz="1600" b="1" i="0" strike="noStrike">
              <a:solidFill>
                <a:schemeClr val="bg1"/>
              </a:solidFill>
              <a:latin typeface="Arial"/>
              <a:cs typeface="Arial"/>
            </a:rPr>
            <a:t>C</a:t>
          </a:r>
          <a:endParaRPr lang="en-US" sz="1800" b="0" i="0" strike="noStrike">
            <a:solidFill>
              <a:srgbClr val="FF0000"/>
            </a:solidFill>
            <a:latin typeface="Arial"/>
            <a:cs typeface="Arial"/>
          </a:endParaRPr>
        </a:p>
      </xdr:txBody>
    </xdr:sp>
    <xdr:clientData/>
  </xdr:twoCellAnchor>
  <xdr:twoCellAnchor>
    <xdr:from>
      <xdr:col>7</xdr:col>
      <xdr:colOff>1906663</xdr:colOff>
      <xdr:row>3</xdr:row>
      <xdr:rowOff>24653</xdr:rowOff>
    </xdr:from>
    <xdr:to>
      <xdr:col>8</xdr:col>
      <xdr:colOff>410005</xdr:colOff>
      <xdr:row>3</xdr:row>
      <xdr:rowOff>481853</xdr:rowOff>
    </xdr:to>
    <xdr:sp macro="" textlink="">
      <xdr:nvSpPr>
        <xdr:cNvPr id="10" name="AutoShape 1">
          <a:extLst>
            <a:ext uri="{FF2B5EF4-FFF2-40B4-BE49-F238E27FC236}">
              <a16:creationId xmlns:a16="http://schemas.microsoft.com/office/drawing/2014/main" id="{00000000-0008-0000-0800-00000A000000}"/>
            </a:ext>
          </a:extLst>
        </xdr:cNvPr>
        <xdr:cNvSpPr>
          <a:spLocks noChangeAspect="1" noChangeArrowheads="1"/>
        </xdr:cNvSpPr>
      </xdr:nvSpPr>
      <xdr:spPr bwMode="auto">
        <a:xfrm>
          <a:off x="16429113" y="748553"/>
          <a:ext cx="929042"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marL="0" indent="0" algn="l" rtl="0">
            <a:defRPr sz="1000"/>
          </a:pPr>
          <a:r>
            <a:rPr lang="en-US" sz="1600" b="1" i="0" strike="noStrike">
              <a:solidFill>
                <a:schemeClr val="bg1"/>
              </a:solidFill>
              <a:latin typeface="Arial"/>
              <a:ea typeface="+mn-ea"/>
              <a:cs typeface="Arial"/>
            </a:rPr>
            <a:t>B</a:t>
          </a:r>
        </a:p>
      </xdr:txBody>
    </xdr:sp>
    <xdr:clientData/>
  </xdr:twoCellAnchor>
  <xdr:twoCellAnchor>
    <xdr:from>
      <xdr:col>4</xdr:col>
      <xdr:colOff>1961030</xdr:colOff>
      <xdr:row>3</xdr:row>
      <xdr:rowOff>33617</xdr:rowOff>
    </xdr:from>
    <xdr:to>
      <xdr:col>5</xdr:col>
      <xdr:colOff>383065</xdr:colOff>
      <xdr:row>3</xdr:row>
      <xdr:rowOff>490817</xdr:rowOff>
    </xdr:to>
    <xdr:sp macro="" textlink="">
      <xdr:nvSpPr>
        <xdr:cNvPr id="11" name="Diamond 10">
          <a:extLst>
            <a:ext uri="{FF2B5EF4-FFF2-40B4-BE49-F238E27FC236}">
              <a16:creationId xmlns:a16="http://schemas.microsoft.com/office/drawing/2014/main" id="{00000000-0008-0000-0800-00000B000000}"/>
            </a:ext>
          </a:extLst>
        </xdr:cNvPr>
        <xdr:cNvSpPr>
          <a:spLocks noChangeAspect="1"/>
        </xdr:cNvSpPr>
      </xdr:nvSpPr>
      <xdr:spPr bwMode="auto">
        <a:xfrm>
          <a:off x="9206380" y="757517"/>
          <a:ext cx="847735"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MDD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23812</xdr:colOff>
      <xdr:row>0</xdr:row>
      <xdr:rowOff>59531</xdr:rowOff>
    </xdr:from>
    <xdr:to>
      <xdr:col>2</xdr:col>
      <xdr:colOff>2155031</xdr:colOff>
      <xdr:row>1</xdr:row>
      <xdr:rowOff>130969</xdr:rowOff>
    </xdr:to>
    <xdr:sp macro="[0]!Create_a_Copy" textlink="">
      <xdr:nvSpPr>
        <xdr:cNvPr id="2" name="Rounded Rectangle 1">
          <a:extLst>
            <a:ext uri="{FF2B5EF4-FFF2-40B4-BE49-F238E27FC236}">
              <a16:creationId xmlns:a16="http://schemas.microsoft.com/office/drawing/2014/main" id="{00000000-0008-0000-0900-000002000000}"/>
            </a:ext>
          </a:extLst>
        </xdr:cNvPr>
        <xdr:cNvSpPr/>
      </xdr:nvSpPr>
      <xdr:spPr>
        <a:xfrm>
          <a:off x="1476375" y="59531"/>
          <a:ext cx="2131219" cy="511969"/>
        </a:xfrm>
        <a:prstGeom prst="roundRect">
          <a:avLst/>
        </a:prstGeom>
        <a:gradFill>
          <a:gsLst>
            <a:gs pos="100000">
              <a:schemeClr val="bg1">
                <a:lumMod val="50000"/>
              </a:schemeClr>
            </a:gs>
            <a:gs pos="100000">
              <a:schemeClr val="accent3">
                <a:shade val="93000"/>
                <a:satMod val="130000"/>
              </a:schemeClr>
            </a:gs>
            <a:gs pos="100000">
              <a:schemeClr val="accent3">
                <a:shade val="94000"/>
                <a:satMod val="135000"/>
              </a:schemeClr>
            </a:gs>
          </a:gsLst>
        </a:gra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2000" b="1">
              <a:solidFill>
                <a:schemeClr val="bg1"/>
              </a:solidFill>
            </a:rPr>
            <a:t>Create a Copy</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0</xdr:colOff>
      <xdr:row>4</xdr:row>
      <xdr:rowOff>276225</xdr:rowOff>
    </xdr:from>
    <xdr:to>
      <xdr:col>6</xdr:col>
      <xdr:colOff>4429125</xdr:colOff>
      <xdr:row>22</xdr:row>
      <xdr:rowOff>180975</xdr:rowOff>
    </xdr:to>
    <xdr:pic>
      <xdr:nvPicPr>
        <xdr:cNvPr id="7181" name="Picture 1">
          <a:extLst>
            <a:ext uri="{FF2B5EF4-FFF2-40B4-BE49-F238E27FC236}">
              <a16:creationId xmlns:a16="http://schemas.microsoft.com/office/drawing/2014/main" id="{00000000-0008-0000-0A00-00000D1C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22" t="20619" r="64491" b="35756"/>
        <a:stretch>
          <a:fillRect/>
        </a:stretch>
      </xdr:blipFill>
      <xdr:spPr bwMode="auto">
        <a:xfrm>
          <a:off x="13296900" y="1152525"/>
          <a:ext cx="5553075" cy="3790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4713493</xdr:colOff>
      <xdr:row>9</xdr:row>
      <xdr:rowOff>27780</xdr:rowOff>
    </xdr:from>
    <xdr:to>
      <xdr:col>6</xdr:col>
      <xdr:colOff>7015369</xdr:colOff>
      <xdr:row>14</xdr:row>
      <xdr:rowOff>83344</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19134343" y="1866105"/>
          <a:ext cx="2301876" cy="865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Uncheck</a:t>
          </a:r>
          <a:r>
            <a:rPr lang="en-US" sz="1400" b="1" baseline="0"/>
            <a:t> "Select Multiple Items", then Check the applicable boxes to limit </a:t>
          </a:r>
        </a:p>
        <a:p>
          <a:r>
            <a:rPr lang="en-US" sz="1400" b="1" baseline="0"/>
            <a:t>"MRL Levels" to view.</a:t>
          </a:r>
          <a:endParaRPr lang="en-US" sz="1400" b="1"/>
        </a:p>
      </xdr:txBody>
    </xdr:sp>
    <xdr:clientData/>
  </xdr:twoCellAnchor>
  <xdr:twoCellAnchor>
    <xdr:from>
      <xdr:col>6</xdr:col>
      <xdr:colOff>1014618</xdr:colOff>
      <xdr:row>12</xdr:row>
      <xdr:rowOff>3969</xdr:rowOff>
    </xdr:from>
    <xdr:to>
      <xdr:col>6</xdr:col>
      <xdr:colOff>4697620</xdr:colOff>
      <xdr:row>18</xdr:row>
      <xdr:rowOff>162719</xdr:rowOff>
    </xdr:to>
    <xdr:cxnSp macro="">
      <xdr:nvCxnSpPr>
        <xdr:cNvPr id="4" name="Straight Arrow Connector 3">
          <a:extLst>
            <a:ext uri="{FF2B5EF4-FFF2-40B4-BE49-F238E27FC236}">
              <a16:creationId xmlns:a16="http://schemas.microsoft.com/office/drawing/2014/main" id="{00000000-0008-0000-0A00-000004000000}"/>
            </a:ext>
          </a:extLst>
        </xdr:cNvPr>
        <xdr:cNvCxnSpPr/>
      </xdr:nvCxnSpPr>
      <xdr:spPr>
        <a:xfrm flipH="1">
          <a:off x="15435468" y="2328069"/>
          <a:ext cx="3683002" cy="11303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1379745</xdr:colOff>
      <xdr:row>10</xdr:row>
      <xdr:rowOff>99220</xdr:rowOff>
    </xdr:from>
    <xdr:to>
      <xdr:col>6</xdr:col>
      <xdr:colOff>4713493</xdr:colOff>
      <xdr:row>11</xdr:row>
      <xdr:rowOff>138906</xdr:rowOff>
    </xdr:to>
    <xdr:cxnSp macro="">
      <xdr:nvCxnSpPr>
        <xdr:cNvPr id="5" name="Straight Arrow Connector 4">
          <a:extLst>
            <a:ext uri="{FF2B5EF4-FFF2-40B4-BE49-F238E27FC236}">
              <a16:creationId xmlns:a16="http://schemas.microsoft.com/office/drawing/2014/main" id="{00000000-0008-0000-0A00-000005000000}"/>
            </a:ext>
          </a:extLst>
        </xdr:cNvPr>
        <xdr:cNvCxnSpPr>
          <a:stCxn id="3" idx="1"/>
        </xdr:cNvCxnSpPr>
      </xdr:nvCxnSpPr>
      <xdr:spPr>
        <a:xfrm flipH="1" flipV="1">
          <a:off x="15800595" y="2099470"/>
          <a:ext cx="3333748" cy="2016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57150</xdr:colOff>
      <xdr:row>30</xdr:row>
      <xdr:rowOff>85725</xdr:rowOff>
    </xdr:from>
    <xdr:to>
      <xdr:col>6</xdr:col>
      <xdr:colOff>4400550</xdr:colOff>
      <xdr:row>54</xdr:row>
      <xdr:rowOff>266700</xdr:rowOff>
    </xdr:to>
    <xdr:pic>
      <xdr:nvPicPr>
        <xdr:cNvPr id="7185" name="Picture 5">
          <a:extLst>
            <a:ext uri="{FF2B5EF4-FFF2-40B4-BE49-F238E27FC236}">
              <a16:creationId xmlns:a16="http://schemas.microsoft.com/office/drawing/2014/main" id="{00000000-0008-0000-0A00-0000111C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732" t="23441" r="60097" b="3416"/>
        <a:stretch>
          <a:fillRect/>
        </a:stretch>
      </xdr:blipFill>
      <xdr:spPr bwMode="auto">
        <a:xfrm>
          <a:off x="13354050" y="6305550"/>
          <a:ext cx="5467350" cy="5686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5040518</xdr:colOff>
      <xdr:row>37</xdr:row>
      <xdr:rowOff>164306</xdr:rowOff>
    </xdr:from>
    <xdr:to>
      <xdr:col>7</xdr:col>
      <xdr:colOff>54182</xdr:colOff>
      <xdr:row>45</xdr:row>
      <xdr:rowOff>202406</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19461368" y="7508081"/>
          <a:ext cx="2281239" cy="1819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baseline="0"/>
            <a:t>Ensure "Thread" is showing in "Select Field", then Uncheck "Select All" and Check the applicale boxes to limit "Threads" to view.</a:t>
          </a:r>
          <a:endParaRPr lang="en-US" sz="1400" b="1"/>
        </a:p>
      </xdr:txBody>
    </xdr:sp>
    <xdr:clientData/>
  </xdr:twoCellAnchor>
  <xdr:twoCellAnchor>
    <xdr:from>
      <xdr:col>6</xdr:col>
      <xdr:colOff>1341643</xdr:colOff>
      <xdr:row>41</xdr:row>
      <xdr:rowOff>164306</xdr:rowOff>
    </xdr:from>
    <xdr:to>
      <xdr:col>6</xdr:col>
      <xdr:colOff>5024645</xdr:colOff>
      <xdr:row>48</xdr:row>
      <xdr:rowOff>1587</xdr:rowOff>
    </xdr:to>
    <xdr:cxnSp macro="">
      <xdr:nvCxnSpPr>
        <xdr:cNvPr id="8" name="Straight Arrow Connector 7">
          <a:extLst>
            <a:ext uri="{FF2B5EF4-FFF2-40B4-BE49-F238E27FC236}">
              <a16:creationId xmlns:a16="http://schemas.microsoft.com/office/drawing/2014/main" id="{00000000-0008-0000-0A00-000008000000}"/>
            </a:ext>
          </a:extLst>
        </xdr:cNvPr>
        <xdr:cNvCxnSpPr/>
      </xdr:nvCxnSpPr>
      <xdr:spPr>
        <a:xfrm flipH="1">
          <a:off x="15762493" y="8479631"/>
          <a:ext cx="3683002" cy="145653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919370</xdr:colOff>
      <xdr:row>36</xdr:row>
      <xdr:rowOff>3971</xdr:rowOff>
    </xdr:from>
    <xdr:to>
      <xdr:col>6</xdr:col>
      <xdr:colOff>4967493</xdr:colOff>
      <xdr:row>40</xdr:row>
      <xdr:rowOff>19844</xdr:rowOff>
    </xdr:to>
    <xdr:cxnSp macro="">
      <xdr:nvCxnSpPr>
        <xdr:cNvPr id="9" name="Straight Arrow Connector 8">
          <a:extLst>
            <a:ext uri="{FF2B5EF4-FFF2-40B4-BE49-F238E27FC236}">
              <a16:creationId xmlns:a16="http://schemas.microsoft.com/office/drawing/2014/main" id="{00000000-0008-0000-0A00-000009000000}"/>
            </a:ext>
          </a:extLst>
        </xdr:cNvPr>
        <xdr:cNvCxnSpPr/>
      </xdr:nvCxnSpPr>
      <xdr:spPr>
        <a:xfrm flipH="1" flipV="1">
          <a:off x="15340220" y="7185821"/>
          <a:ext cx="4048123" cy="8254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54181</xdr:colOff>
      <xdr:row>2</xdr:row>
      <xdr:rowOff>0</xdr:rowOff>
    </xdr:from>
    <xdr:to>
      <xdr:col>6</xdr:col>
      <xdr:colOff>93869</xdr:colOff>
      <xdr:row>4</xdr:row>
      <xdr:rowOff>55563</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13351081" y="190500"/>
          <a:ext cx="1163638" cy="4079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MRL Filter</a:t>
          </a:r>
        </a:p>
      </xdr:txBody>
    </xdr:sp>
    <xdr:clientData/>
  </xdr:twoCellAnchor>
  <xdr:twoCellAnchor>
    <xdr:from>
      <xdr:col>5</xdr:col>
      <xdr:colOff>63706</xdr:colOff>
      <xdr:row>27</xdr:row>
      <xdr:rowOff>84931</xdr:rowOff>
    </xdr:from>
    <xdr:to>
      <xdr:col>6</xdr:col>
      <xdr:colOff>103394</xdr:colOff>
      <xdr:row>29</xdr:row>
      <xdr:rowOff>164307</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13360606" y="5485606"/>
          <a:ext cx="1163638" cy="403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Thread Filter</a:t>
          </a:r>
        </a:p>
      </xdr:txBody>
    </xdr:sp>
    <xdr:clientData/>
  </xdr:twoCellAnchor>
  <mc:AlternateContent xmlns:mc="http://schemas.openxmlformats.org/markup-compatibility/2006">
    <mc:Choice xmlns:a14="http://schemas.microsoft.com/office/drawing/2010/main" Requires="a14">
      <xdr:twoCellAnchor editAs="oneCell">
        <xdr:from>
          <xdr:col>0</xdr:col>
          <xdr:colOff>95250</xdr:colOff>
          <xdr:row>0</xdr:row>
          <xdr:rowOff>19050</xdr:rowOff>
        </xdr:from>
        <xdr:to>
          <xdr:col>0</xdr:col>
          <xdr:colOff>1666875</xdr:colOff>
          <xdr:row>0</xdr:row>
          <xdr:rowOff>323850</xdr:rowOff>
        </xdr:to>
        <xdr:sp macro="" textlink="">
          <xdr:nvSpPr>
            <xdr:cNvPr id="5474" name="cmdCopyFromSummary" hidden="1">
              <a:extLst>
                <a:ext uri="{63B3BB69-23CF-44E3-9099-C40C66FF867C}">
                  <a14:compatExt spid="_x0000_s5474"/>
                </a:ext>
                <a:ext uri="{FF2B5EF4-FFF2-40B4-BE49-F238E27FC236}">
                  <a16:creationId xmlns:a16="http://schemas.microsoft.com/office/drawing/2014/main" id="{00000000-0008-0000-0A00-0000621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a Copy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MRL/test_source.xls"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urton, Barry (HON Company)" refreshedDate="42819.919693865741" createdVersion="1" refreshedVersion="4" recordCount="428" upgradeOnRefresh="1" xr:uid="{00000000-000A-0000-FFFF-FFFF00000000}">
  <cacheSource type="worksheet">
    <worksheetSource ref="A1:K65536" sheet="Questionnaire" r:id="rId2"/>
  </cacheSource>
  <cacheFields count="11">
    <cacheField name="MRL FILTER" numFmtId="0">
      <sharedItems containsString="0" containsBlank="1" containsNumber="1" containsInteger="1" minValue="1" maxValue="10" count="11">
        <n v="1"/>
        <n v="2"/>
        <n v="3"/>
        <n v="4"/>
        <n v="5"/>
        <n v="6"/>
        <n v="7"/>
        <n v="8"/>
        <n v="9"/>
        <n v="10"/>
        <m/>
      </sharedItems>
    </cacheField>
    <cacheField name="MRL" numFmtId="0">
      <sharedItems containsString="0" containsBlank="1" containsNumber="1" containsInteger="1" minValue="1" maxValue="10" count="11">
        <n v="1"/>
        <n v="2"/>
        <n v="3"/>
        <n v="4"/>
        <n v="5"/>
        <n v="6"/>
        <n v="7"/>
        <n v="8"/>
        <n v="9"/>
        <n v="10"/>
        <m/>
      </sharedItems>
    </cacheField>
    <cacheField name="Thread" numFmtId="0">
      <sharedItems containsBlank="1" count="10">
        <s v="A - Technology &amp; Industrial Base"/>
        <s v="B - Design"/>
        <s v="C - Cost &amp; Funding"/>
        <s v="D - Materials"/>
        <s v="E - Process Capability &amp; Control"/>
        <s v="F - Quality Management"/>
        <s v="G - Mfg Personnel"/>
        <s v="H - Facilities"/>
        <s v="I - Mfg Management"/>
        <m/>
      </sharedItems>
    </cacheField>
    <cacheField name="Sub" numFmtId="0">
      <sharedItems containsBlank="1" count="24">
        <s v="A.0 - Technology Maturity"/>
        <s v="A.1 - Technology Transition to Production"/>
        <s v="A.2 - Manufacturing Technology Development"/>
        <s v="B.1 - Producibility Program"/>
        <s v="B.2 - Design Maturity"/>
        <s v="C.1 - Production Cost Knowledge (Cost modeling)"/>
        <s v="C.2 - Cost Analysis"/>
        <s v="C.3 - Manufacturing Investment Budget"/>
        <s v="D.1 - Maturity"/>
        <s v="D.2 - Availability"/>
        <s v="D.3 - Supply Chain Management"/>
        <s v="D.4 - Special Handling"/>
        <s v="E.1 - Modeling &amp; Simulation"/>
        <s v="E.2 - Manufacturing Process Maturity"/>
        <s v="E.3 - Process Yields and Rates"/>
        <s v="F.1 - Quality Management including Supplier Quality"/>
        <s v="F.2 - Product Quality"/>
        <s v="F.3 - Supplier Quality Management"/>
        <s v="G.1 - Manufacturing Personnel"/>
        <s v="H.1 - Tooling/ Special Test and Inspection Equipment (STE/SIE)"/>
        <s v="H.2 - Facilities"/>
        <s v="I.1 - Mfg Planning &amp; Scheduling"/>
        <s v="I.2 - Materials Planning"/>
        <m/>
      </sharedItems>
    </cacheField>
    <cacheField name="Question" numFmtId="0">
      <sharedItems containsBlank="1" count="416">
        <s v="Is the Technology Readiness at TRL 1 or greater?"/>
        <s v="Is the Technology Readiness at TRL 2 or greater?"/>
        <s v="Is the Technology Readiness at TRL 3 or greater?"/>
        <s v="Is the Technology Readiness at TRL 4 or greater?"/>
        <s v="Is the Technology Readiness at TRL 5 or greater?"/>
        <s v="Is the Technology Readiness at TRL 6 or greater?"/>
        <s v="Is the Technology Readiness at TRL 7 or 8?"/>
        <s v="Is the Technology Readiness at TRL 8 or 9?"/>
        <s v="Is the Technology Readiness at TRL 9?"/>
        <s v="Have potential manufacturing sources been identified for technology needs (Understand state of the art)?"/>
        <s v="Have industrial base capabilities and gaps/risks been identified for key technologies, components, and/or key processes?"/>
        <s v="Has the industrial base capabilities assessment been initiated to identify potential manufacturing sources to produce the required capability?"/>
        <s v="Have sole/single/foreign source vendors and vendors of technologies with potential obsolescence issues been identified? "/>
        <s v="Has planning begun to minimize the risks associated with sole/single/foreign source vendors?"/>
        <s v="Has an industrial base capabilities assessment for MS B been completed?"/>
        <s v="Is the industrial capability in place to support the manufacturing of development articles?"/>
        <s v="Are the plans to minimize sole/single/foreign sources and obsolescence issues complete?"/>
        <s v="Has the need for sole/single/foreign sources been justified?"/>
        <s v="Have potential alternative sources been identified?"/>
        <s v="Has the industrial capability to support production been analyzed?"/>
        <s v="Is the stability of all sole/single/foreign sources and obsolescence issues being assessed/monitored?"/>
        <s v="Are the necessary alternates to sole/single/foreign sources being developed?"/>
        <s v="Has the industrial base capability assessment for Milestone C been completed?"/>
        <s v="Is the industrial capability in place to support Low Rate Initial Production (LRIP)?"/>
        <s v="Are all necessary sources available including multi-sourcing where cost-effective or necessary to mitigate risk?"/>
        <s v="Is the industrial capability assessment for FRP complete?"/>
        <s v="Is the Industrial capability in place to support the start of FRP?"/>
        <s v="Does the Industrial Capability support FRP"/>
        <s v="Has the industrial capability been assessed to support modifications, upgrades, surge, and other potential manufacturing requirements?"/>
        <s v="Have new manufacturing concepts and potential solutions been identified?"/>
        <s v="Have manufacturing technology concepts been identified through experiments/models?"/>
        <s v="Have pertinent Manufacturing Science (MS) and Advanced Manufacturing Technology requirements been identified?"/>
        <s v="Have the required manufacturing technology development efforts been initiated as applicable?"/>
        <s v="Are the necessary manufacturing technology development efforts continuing?"/>
        <s v="Have the required manufacturing technology development solutions been demonstrated in a production relevant environment?"/>
        <s v="Are the necessary manufacturing technology development efforts still continuing?"/>
        <s v="Have the required manufacturing science and manufacturing technology development solutions been demonstrated in a production representative environment?"/>
        <s v="Are the primary manufacturing technology efforts concluding and some improvement efforts continuing?"/>
        <s v="Have the required manufacturing technology development solutions been validated on a pilot line?"/>
        <s v="Have the required manufacturing technology process improvement efforts been initiated for Full Rate Production (FRP)?"/>
        <s v="Are manufacturing technology continuous process improvements ongoing?"/>
        <s v="Have relevant materials/processes been evaluated for manufacturability using experiments/models?"/>
        <s v="Are initial producibility and manufacturability assessments of preferred systems concepts completed?"/>
        <s v="Are the results of the producibility and manufacturability assessment being considered in the selection of preferred design concepts?"/>
        <s v="Are the results of the producibility and manufacturability assessment being reflected in the Technology Development Strategy key components/technologies?"/>
        <s v="Have producibility &amp; manufacturability assessments of key technologies and components been initiated as appropriate?"/>
        <s v="Do ongoing design trades consider manufacturing processes and industrial base capability constraints? "/>
        <s v="Have the manufacturing processes been assessed for capability to test and verify in production and their influence on Operations and Support (O&amp;S)?"/>
        <s v="Have producibility assessments and producibility trade studies (performance vs. producibility) of key technologies/components been completed?"/>
        <s v="Are the results of the producibility assessments and trade studies being used to shape the Acquisition Strategy, Systems Engineering Plan (SEP), Manufacturing and Producibility plans, and Planning for Engineering and Manufacturing Development (EMD) or tec"/>
        <s v="Are the preliminary design choices assessed against manufacturing processes and industrial base capability constraints? "/>
        <s v="Are the producibility enhancement efforts (e.g., Design For Manufacturing and Design for Assembly) initiated?"/>
        <s v="Are the producibility enhancement efforts (e.g. Design for Mfg., Assembly, etc. - DFX) ongoing for an optimized integrated system? "/>
        <s v="Are manufacturing processes re-assessed as needed for capability to test and verify potential influence on Operations &amp; Support? "/>
        <s v="Have the producibility improvements been implemented on the system?"/>
        <s v="Have the known producibility issues been resolved and pose no significant risk for Low Rate Initial Production (LRIP)?"/>
        <s v="Have prior producibility improvements been analyzed for effectiveness during Low Rate Initial Production (LRIP)?"/>
        <s v="Have the producibility issues/risks discovered in Low Rate Initial Production (LRIP) been mitigated and pose no significant risk for Full Rate Production (FRP)?"/>
        <s v="Have design producibility improvements been demonstrated in Full Rate Production (FRP)?"/>
        <s v="Are process producibility improvements ongoing?"/>
        <s v="Are all modifications, upgrades, Diminishing Mfg Sources &amp; Material Shortages (DMSMS), and other changes assessed for producibility?"/>
        <s v="Have manufacturing research opportunities been identified?"/>
        <s v="Have applications been defined?"/>
        <s v="Have broad performance goals been identified that may drive manufacturing options?"/>
        <s v="Have top level performance requirements been defined?"/>
        <s v="Have trade-offs in design options been assessed based on experiments?"/>
        <s v="Are product lifecycle requirements and technical requirements being evaluated?"/>
        <s v="Do the Systems Engineering Plan (SEP) and the Test and Evaluation Strategy recognize the need for the establishment/validation of manufacturing capability and management of manufacturing risk for the product lifecycle?"/>
        <s v="Have initial potential Key Performance Parameters (KPPs) been identified for the preferred systems concept?"/>
        <s v="Are system characteristics and measures to support required capabilities identified?"/>
        <s v="Are form, fit, and function constraints and manufacturing capabilities identified for the preferred systems concepts?"/>
        <s v="Are lower level performance requirements sufficient to proceed to the preliminary design?  "/>
        <s v="Are all enabling/critical technologies and components identified? "/>
        <s v="Do enabling/critical technologies and components consider the product lifecycle? "/>
        <s v="Have the evaluation of design Key Characteristics (KC) been initiated? "/>
        <s v="Have product data required for prototype component manufacturing been released?"/>
        <s v="Has a system allocated baseline been established?"/>
        <s v="Are the product requirements and features well enough defined to support Preliminary Design Review?"/>
        <s v="Has product data essential for  subsystem/system prototyping been released?"/>
        <s v="Have all enabling/critical technologies/components been demonstrated?"/>
        <s v="Have preliminary design Key Characteristics (KC) been defined and are mitigation plans in development?"/>
        <s v="Are the product design and features well enough defined to support critical design review even though design change traffic may be significant?"/>
        <s v="Has all the product data essential for component manufacturing been released?"/>
        <s v="Have potential Key Characteristic risk issues been identified?"/>
        <s v="Have preliminary design Key Characteristic (KC) issues been defined and are mitigation plans in development?"/>
        <s v="Is the detailed design of product features and interfaces complete?"/>
        <s v="Has all the product data essential for system manufacturing been released?"/>
        <s v="Does the design change traffic have minimal impact on Low Rate Initial Production (LRIP)?"/>
        <s v="Are the Key Characteristics attainable based upon pilot line demonstrations?"/>
        <s v="Are the major product design features and configuration stable?"/>
        <s v="Has the system design been validated through operational testing of Low Rate Initial Production (LRIP) items?"/>
        <s v="Is the Physical Configuration Audit (PCA) or equivalent complete as necessary?"/>
        <s v="Is the design change traffic limited to minor configuration changes?"/>
        <s v="Are all Key Characteristics controlled in Low Rate Initial Production (LRIP) to appropriate quality levels?"/>
        <s v="Is the product design stable (i.e. design changes are few and generally limited to those required for continuous improvement or in reaction to obsolescence)? "/>
        <s v="Are all Key Characteristics controlled in Full Rate Production (FRP) to appropriate quality levels?"/>
        <s v="Has the cost model approach been defined?"/>
        <s v="Have initial cost targets and risks been identified? "/>
        <s v="Has a high level process chart model been developed? "/>
        <s v="Have technology cost models been developed for new process steps and materials based on experiments?"/>
        <s v="Have key manufacturing, material and specialized requirement cost drivers been identified?    "/>
        <s v="Are detailed process chart cost models driven by process variables?"/>
        <s v="Has cost driver uncertainty been quantified?"/>
        <s v="Do prototype components or simulations produced in a production relevant environment drive the formulation of the final production cost model?"/>
        <s v="Is there a realistic cost model that includes  materials, labor, equipment, tooling/Special Test Equipment (STE), setup, yield/scrap/rework, Work In Progress (WIP), and capability/capacity constraints?"/>
        <s v="Have cost models been updated with design requirements, material specifications, tolerances, integrated master schedule, results of system/subsystem simulations and  production relevant prototype demonstrations?  "/>
        <s v="Are cost models updated with the results of systems/sub-systems produced in a production representative environment, production plant layout and design, and obsolescence solutions?"/>
        <s v="Have cost models been updated with results of the pilot line build?"/>
        <s v="Has the Full Rate Production (FRP) cost model been updated with the result of the Low Rate Initial Production (LRIP) build?"/>
        <s v="Has the cost model been validated against actual Full Rate Production (FRP) cost?"/>
        <s v="Have manufacturing cost implications been identified?"/>
        <s v="Have cost elements been identified?"/>
        <s v="Has a sensitivity analysis been conducted to define cost drivers and production development strategy (i.e. lab to pilot to factory)?"/>
        <s v="Have producibility cost risks been assessed?  "/>
        <s v=" Do initial cost models support Analysis of Alternatives (AoA) and Alternative Systems Review (ASR)?"/>
        <s v="Are costs analyzed using prototype component actuals to ensure target costs are achievable? "/>
        <s v="Are decisions regarding design choices, make/buy, capacity, process capability, sources, quality, key characteristics, yield/rate, and variability influenced by cost models?   "/>
        <s v="Are costs analyzed using prototype system/sub-system actuals to ensure target costs are achievable? "/>
        <s v="Have cost targets been allocated to subsystems?"/>
        <s v="Have cost reduction and avoidance strategies been developed?"/>
        <s v="Have the manufacturing cost drivers for &quot;Should-Cost&quot; models been provided?"/>
        <s v="Have the manufacturing costs been rolled up to the system/sub-system level and been tracked against targets?"/>
        <s v=" Are detailed trade studies and engineering change requests supported by cost estimates?"/>
        <s v="Are cost reduction and avoidance strategies underway?"/>
        <s v="Have the manufacturing cost drivers for &quot;Should-Cost&quot; models been updated?"/>
        <s v="Are costs analyzed using pilot line actuals to ensure target costs are achievable? "/>
        <s v="Does manufacturing cost analysis support proposed changes to requirements or configuration?"/>
        <s v="Are the cost reduction initiatives ongoing?"/>
        <s v="Have Low Rate Initial Production (LRIP) cost goals been met and has the learning curve been analyzed with actual data?  "/>
        <s v="Are the cost reduction initiatives still ongoing?"/>
        <s v="Has touch labor efficiency been analyzed to meet production rates?"/>
        <s v="Have elements of inefficiency for touch labor been identified with plans in place for reduction?"/>
        <s v="Have Full Rate Production (FRP) cost goals been met?"/>
        <s v="Are the cost reduction initiatives continuing?"/>
        <s v="Have potential investments been identified?"/>
        <s v="Do the program/projects have reasonable budget estimates for reaching MRL 3 through experiment?"/>
        <s v="Do the program/projects have reasonable budget estimates for reaching MRL 4 by Milestone A?"/>
        <s v="Have manufacturing technology initiatives been identified to reduce costs?"/>
        <s v="Does the program have a reasonable budget estimate to reach MRL 6 by Milestone B?"/>
        <s v="Does the cost estimate include capital investment for production-relevant equipment?"/>
        <s v="Are all outstanding MRL 4 risk areas understood with approved mitigation plans in place?"/>
        <s v="Does the program have an updated budget estimate for reaching MRL 6 by Milestone B?"/>
        <s v="Are all outstanding MRL 5 risk areas understood with approved mitigation plans in place?"/>
        <s v="Does the program have a reasonable budget estimate for reaching MRL 8 by Milestone C?"/>
        <s v="Does the cost estimate include capital investment for production-representative equipment by CDR and pilot line equipment by Milestone C?"/>
        <s v="Are all outstanding MRL 6 risk areas understood with approved mitigation plans in place?"/>
        <s v="Does the program have an updated budget estimate for reaching MRL 8 by Milestone C?"/>
        <s v="Are all outstanding MRL 7 risk areas understood with approved mitigation plans in place?"/>
        <s v="Does the program have a reasonable budget estimate for reaching MRL 9 by the Full Rate Production (FRP) decision point?"/>
        <s v="Does the cost estimate include investment for Low Rate Initial Production (LRIP) and Full Rate Production (FRP)?"/>
        <s v="Are all outstanding MRL 8 risk areas understood with approved mitigation plans in place?"/>
        <s v="Does the program have a reasonable budget estimate for Full Rate Production (FRP)?"/>
        <s v="Are all outstanding MRL 9 risk areas understood with approved mitigation plans in place?"/>
        <s v="Are the production budgets sufficient for production at the required rates and schedule to support the funded program?"/>
        <s v="Have material properties been identified for research?"/>
        <s v="Have material properties and characteristics been predicted?"/>
        <s v="Have material properties been validated and assessed for basic manufacturability using experiments?"/>
        <s v="Have projected materials been produced in a laboratory environment?"/>
        <s v="Have all materials been manufactured or produced in a prototype environment (may be in a similar application/program)?"/>
        <s v="Are maturation efforts in place to address new material production risks for technology demonstration?"/>
        <s v="Has the material maturity been verified with technology demonstration articles?"/>
        <s v="Are preliminary material specifications in place?"/>
        <s v="Have material properties been adequately characterized?"/>
        <s v="Is the material maturity sufficient for a pilot line build?"/>
        <s v="Have the necessary material specifications been approved?"/>
        <s v="Have the materials been proven and validated during Engineering and Manufacturing Development (EMD) as adequate to support Low Rate Initial Production (LRIP)?"/>
        <s v="Are material specifications stable?"/>
        <s v="Have all necessary materials been proven and controlled to specification in Low Rate Initial Production (LRIP)?"/>
        <s v="Are the materials proven and validated as adequate to support FRP?"/>
        <s v="Have all necessary materials been proven and controlled to specification in Full Rate Production (FRP)?"/>
        <s v="Has material availability been assessed?"/>
        <s v="Have material scale-up issues been identified?"/>
        <s v="Have projected lead times been identified for all difficult to obtain, difficult to process, or hazardous materials?"/>
        <s v="Have material quantities and lead times been estimated?"/>
        <s v="Have material availability issues been addressed for the prototype build?"/>
        <s v="Have significant material risks been identified for all materials?"/>
        <s v="Has planning begun to address scale-up issues?"/>
        <s v="Have material availability issues been addressed to meet Engineering and Manufacturing Development (EMD) build?"/>
        <s v="Have Long-lead items been identified?"/>
        <s v="Have potential obsolescence issues been identified?"/>
        <s v="Have components been assessed for future DMSMS risk?"/>
        <s v="Have long lead procurements been identified/planned for Low Rate Initial Production (LRIP)?"/>
        <s v="Is an obsolescence plan in place?"/>
        <s v="Are mitigation strategies in place for DMSMS components?"/>
        <s v="Have long lead procurements been initiated for Low Rate Initial Production (LRIP)?"/>
        <s v="Are material availability risk issues minimized for Low Rate Initial Production (LRIP)?"/>
        <s v="Have availability Issues been addressed to meet FRP builds?"/>
        <s v="Have long lead procurements been initiated for Full Rate Production (FRP)?"/>
        <s v="Are availability risk issues minimized for Full Rate Production (FRP)?"/>
        <s v="Are all significant Full Rate Production (FRP) material availability risk issues resolved?"/>
        <s v="Has an initial assessment of potential supply chain capability been completed?"/>
        <s v="Has a survey for potential supply chain sources been completed?"/>
        <s v="Has a survey for potential supply chain sources been completed?_x000a__x000a_"/>
        <s v="_x000a_Have potential supply chain sources been identified and evaluated as able to support prototype build?_x000a_"/>
        <s v="Have life cycle supply chain requirements and the critical suppliers list been updated?"/>
        <s v="Are supply chain plans (e.g., teaming agreements, etc.) in place leading to an Engineering and Manufacturing Development (EMD) contract award?"/>
        <s v="Is there an effective supply chain management process defined, documented and in place?"/>
        <s v="Is there an effective process in place for management of suppliers using metrics for tracking and managing supplier performance?"/>
        <s v="Has a plan been developed for establishing predictive indicators?"/>
        <s v="Is the supply chain adequate to support Low Rate Initial Production (LRIP)?"/>
        <s v="Has an adequate assessment of the critical second and lower tier supply chain been completed?"/>
        <s v="Is there a robust and disciplined requirements flow-down process verified and in place?"/>
        <s v="Has supplier compliance with program requirements and changes been validated?"/>
        <s v="Has the plan for predictive indicators been updated for use in production?"/>
        <s v="Is the supply chain stable and adequate to support Full Rate Production (FRP)?"/>
        <s v="Are long term agreements in place where practical?"/>
        <s v="Are the Prime's supplier management metrics (including thresholds and goals) in place and being used to manage risk?"/>
        <s v="Are predictive indicators in place to manage suppliers?"/>
        <s v="Has an initial evaluation of potential regulatory requirements and special handling concerns been completed?"/>
        <s v="Have potential special handling procedures been applied in the lab?"/>
        <s v="Have special handling concerns been assessed?"/>
        <s v="Has a list of hazardous materials been updated?"/>
        <s v="Have special handling requirements been identified?"/>
        <s v="Have the special handling procedures been applied in the lab?"/>
        <s v="Have special handling procedures been applied in a production relevant environment?"/>
        <s v="Have all special handling requirement gaps been identified?"/>
        <s v="Have new special handling processes been demonstrated in lab environment?"/>
        <s v="Have the plans to address the special handling requirement gaps been completed?"/>
        <s v="Have special handling procedures been applied in a production representative environment?"/>
        <s v="Have special handling procedures been developed and annotated on work instructions for the pilot line?"/>
        <s v="Have special handling procedures been applied in a pilot line environment?"/>
        <s v="Have special handling procedures been demonstrated in Engineering and Manufacturing Development (EMD) or technology insertion programs?"/>
        <s v="Have the special handling risk issues been minimized for Low Rate Initial Production (LRIP)?"/>
        <s v="Do all work instructions contain special handling provisions as required?"/>
        <s v="Have special handling procedures been applied in a Low Rate Initial Production (LRIP) environment?"/>
        <s v="Have the special handling procedures been demonstrated in Low Rate Initial Production (LRIP)?"/>
        <s v="Have the special handling risk issues been minimized for Full Rate Production (FRP)?"/>
        <s v="Have the special handling procedures been effectively implemented in Full Rate Production (FRP)?  "/>
        <s v="Have initial models been developed, if applicable?"/>
        <s v="Have proposed manufacturing concepts or producibility needs been identified based on high-level process flow chart models?"/>
        <s v="Have production modeling and simulation approaches for process or product been identified?"/>
        <s v="Have the initial simulation models (product or process) been developed at the component level and used to determine constraints?"/>
        <s v="Have the initial simulation models been developed at the technology sub-system or system level and used to determine system constraints?"/>
        <s v="Have the simulation models been used to determine system constraints and identify improvement opportunities?"/>
        <s v="Have the simulation models been verified by the pilot line? "/>
        <s v="Have the results of the simulation models been used to improve processes and determine that Low Rate Initial Production (LRIP) requirements can be met?"/>
        <s v="Have the simulation models been verified by Low Rate Initial Production (LRIP) build and used to assist in management of Low Rate Initial Production (LRIP)?"/>
        <s v="Have the results of the simulation models been used to determine if Full Rate Production (FRP) requirements can be met?"/>
        <s v="Have the simulation models been verified by Full Rate Production (FRP) build?"/>
        <s v="Have the production simulation models been used as a tool to assist in management of Full Rate Production (FRP)?"/>
        <s v="Have material and/or process approaches been identified?"/>
        <s v="Have high level manufacturing processes been documented?"/>
        <s v="Have critical manufacturing processes been identified through experimentation?"/>
        <s v="Has a survey been completed to determine the current state of critical processes?"/>
        <s v="Has process maturity been assessed on similar processes in production?"/>
        <s v="Have process capability requirements been identified for pilot line, Low Rate Initial Production (LRIP) and Full Rate Production (FRP)?"/>
        <s v="Have the key manufacturing processes been demonstrated in a production relevant environment?"/>
        <s v="Has collecting or estimating process capability data from prototype build begun, and have process capability requirements been refined? "/>
        <s v="Have the manufacturing processes been successfully demonstrated in a production representative environment?"/>
        <s v="Has collecting or estimating process capability data continued? "/>
        <s v="Have process capability requirements been refined?"/>
        <s v="Have the manufacturing processes for Low Rate Initial Production (LRIP) been verified on a pilot line?"/>
        <s v="Does capability data from the pilot line meet the target?"/>
        <s v="Have process capability requirements for LRIP been refined based on Pilot Line data?"/>
        <s v="Are the manufacturing processes stable, adequately controlled, capable, and have the manufacturing processes achieved program  Low Rate Initial Production (LRIP) objectives?"/>
        <s v="Have variability experiments been conducted to show Full Rate Production (FRP) impact and potential for continuous improvement? "/>
        <s v="Are the manufacturing processes stable, adequately controlled, capable, and have the manufacturing processes achieved program  Full Rate Production (FRP) objectives?"/>
        <s v="Have initial estimates of yields and rates based on experiments or state of the art been completed?"/>
        <s v="Has a yield and rates assessment on proposed/similar processes been completed?"/>
        <s v="Has a yield and rates assessment on proposed/similar processes been applied within the Analysis of Alternatives (AoA)?"/>
        <s v="Have target yield and rates been established for the pilot line, Low Rate Initial Production (LRIP), and Full Rate Production (FRP)?"/>
        <s v="Have yield and rate issues been identified and does the detailed production schedule support the required production rate?"/>
        <s v="Have yield and rate improvement plans been developed/initiated?"/>
        <s v="Are yields and rates from the production relevant environment being evaluated against targets?"/>
        <s v="Are results from the yields and rates from the production relevant environment being fed into an improvement plan?"/>
        <s v="Are yields and rates from the production representative environment being evaluated against pilot line targets?"/>
        <s v="Are results from the yields and rates from the production representative environment being fed into  improvement plans?"/>
        <s v="Have pilot line yield and rate targets been achieved?"/>
        <s v="Have yields and rates required to begin Low Rate Initial Production (LRIP) been refined using pilot line articles?"/>
        <s v="Are yield and rate improvement plans ongoing and being updated?"/>
        <s v="Have the Low Rate Initial Production (LRIP) yield and rate targets been achieved?"/>
        <s v="Have the results of LRIP yields and rates been used to refine FRP yield requirements?"/>
        <s v="Are yield improvements on-going?"/>
        <s v="Have the Full Rate Production (FRP) yield and rate targets been achieved?"/>
        <s v="Has a quality strategy been identified as part of the Acquisition Strategy (AS)?"/>
        <s v="Is the updated quality strategy included in the System Engineering Plan (SEP)?"/>
        <s v="Has the quality strategy been updated to reflect Key Characteristic identification activities?"/>
        <s v="Is there an initial Quality Plan (QP) and a Quality Management System (QMS) in place?"/>
        <s v="Have quality risks and adequate metrics been identified and improvement plans initiated?"/>
        <s v="Have the quality targets been established?"/>
        <s v="Do Quality Management System (QMS) elements (e.g., control of nonconforming material, corrective action, etc.) meet requirements of appropriate industry standards?"/>
        <s v="Is a program-specific quality plan being developed?"/>
        <s v="Have the program-specific quality plan and Quality Manager been established?"/>
        <s v="Have quality targets been assessed against the pilot line to see if they drive continuous quality improvement?"/>
        <s v="Have quality targets been verified on the Low Rate Initial Production (LRIP) line?"/>
        <s v="Is continuous quality improvement on-going?"/>
        <s v="Is management review of quality targets conducted on a regular basis with appropriate action being taken?"/>
        <s v="Have the quality targets been verified on the Full Rate Production (FRP) line?"/>
        <s v="Are statistical controls being applied where appropriate?"/>
        <s v="Has a product inspection and acceptance testing strategy been identified as part of the Acquisition Strategy?"/>
        <s v="Has a product inspection and acceptance testing strategy been included in the Systems Engineering Plan (SEP)?"/>
        <s v="Have roles and responsibilities been identified for acceptance test procedures, in-process and final inspections? "/>
        <s v="Is there a program in place to identify and manage key characteristics?  "/>
        <s v="Have statistical process controls been identified for prototype units?"/>
        <s v="Has a Key Characteristic management approach been defined?"/>
        <s v="Have initial requirements been identified for acceptance test procedures and in-process and final inspection requirements for EMD units?"/>
        <s v="Have appropriate inspection and acceptance test procedures been identified for prototype units?"/>
        <s v="Has quality data from the production representative environment been collected and analyzed and the results used to shape improvement plans?"/>
        <s v="Are control plans completed for management of Key Characteristics?"/>
        <s v="Are Test and Inspection Plans being developed for EMD units?"/>
        <s v="Are Key Characteristics managed with measurement procedures and controls in place (e.g. SPC, FRACAS, audits, customer satisfaction, etc.)?"/>
        <s v="Does the Pilot line data meet capability requirements for all Key Characteristics?"/>
        <s v="Are Test and Inspection Plans complete and validated for production units?"/>
        <s v="Does data from LRIP demonstrate that production processes for all Key Characteristics and other manufacturing processes critical to quality are capable and under control for FRP?"/>
        <s v="Is the quality of Key Characteristics controlled at rate, and the data reflects only rare and unrepeated quality issues related to manufacturing processes?"/>
        <s v="Do results of quality data achieve targeted statistical level on all Key Characteristics?"/>
        <s v="Do results of quality data reflect continuous improvement?"/>
        <s v="Are potential supplier base quality capabilities and risks identified, to include subtier supplier quality management? "/>
        <s v="Have supply base quality capabilities and risks been identified, to include subtier quality management?"/>
        <s v="Have specific supply base quality improvement initiatives been identified addressing supplier Quality Management System shortfalls, including subtier supplier quality management?"/>
        <s v="Do key supplier Quality Management Systems meet appropriate industry standards? "/>
        <s v="Has supplier quality data from production representative units been collected and analyzed?"/>
        <s v="Has a strategy been outlined for audits of critical supplier processes?"/>
        <s v="Are supplier program-specific Quality Management Systems adequate ?"/>
        <s v="Have supplier products completed qualification testing?"/>
        <s v="Have supplier products completed first article inspection?"/>
        <s v="Is acceptance testing of supplier products adequate to begin LRIP?"/>
        <s v="Is a plan for subcontractor process audits in place and being implemented by prime contractor?"/>
        <s v="Does supplier management of quality of Key Characteristics and other critical manufacturing processes demonstrate capability and control for FRP?"/>
        <s v="Does acceptance testing of supplier products reflects control of quality adequate to begin FRP?"/>
        <s v="Are subcontractor Quality Audits performed as necessary to ensure subcontractor specification compliance?"/>
        <s v="Does supplier quality data reflect adequate management of Key Characteristics and control of critical manufacturing processes, including quality management down to subtier suppliers?"/>
        <s v="Does process quality achieve high statistical level (e.g. 6-sigma) on all critical dimensions? "/>
        <s v="Have new manufacturing skills been identified?"/>
        <s v="Have the manufacturing skills needed to produce, test and support the proposed concepts been assessed?  "/>
        <s v="Have manufacturing skill sets been identified?"/>
        <s v="Have production workforce requirements (technical and operational) been evaluated as part of AoA?"/>
        <s v="Has the availability of process development workforce for the Technology Maturation and Risk Reduction Phase been determined?"/>
        <s v="Have the necessary workforce skill sets been identified to meet prototype production needs?"/>
        <s v="Have plans for the identified skill sets been developed to meet prototype production needs?"/>
        <s v="Have special skills certification and training requirements been established?"/>
        <s v="Are the manufacturing workforce skills available for production in a relevant environment?"/>
        <s v="Have resources (quantities and skill sets) been identified to achieve requirements for pilot line and production? "/>
        <s v="Have initial plans for the identified resources (quantities and skill sets) been developed to achieve requirements for pilot line and production? "/>
        <s v="Have the manufacturing workforce resource requirements been identified for the pilot line?"/>
        <s v=" Have plans been developed to achieve pilot line requirements?"/>
        <s v=" Have plans been updated to achieve Low Rate Initial Production (LRIP) workforce requirements? "/>
        <s v="Has the pilot line workforce been trained in the representative environment?"/>
        <s v="Have manufacturing workforce resource requirements been identified for Low Rate Initial Production (LRIP)?"/>
        <s v=" Have plans been developed to achieve Low Rate Initial Production (LRIP) requirements?"/>
        <s v=" Have plans been updated to achieve  Full Rate Production (FRP) workforce requirements? "/>
        <s v="Have Low Rate Initial Production (LRIP) personnel been trained on the pilot line where possible?"/>
        <s v="Have Low Rate Initial Production (LRIP) personnel requirements been met?"/>
        <s v="Has a plan been implemented to achieve Full Rate Production (FRP) workforce requirements?"/>
        <s v="Have Full Rate Production (FRP) personnel requirements been met including all necessary certifications?"/>
        <s v="Are production workforce skill sets being maintained due to attrition of the workforce?"/>
        <s v="Are tooling/Special Test Equipment (STE)/Special Inspection Equipment (SIE) requirements being considered as part of AoA?"/>
        <s v="Have tooling and STE/SIE requirements been identified?"/>
        <s v="Have supporting rationale and a schedule been provided for the tooling and STE/SIE requirements? "/>
        <s v="Have prototype tooling and STE/SIE concepts been demonstrated in production relevant environment? "/>
        <s v="Have production tooling and STE/SIE requirements been developed?"/>
        <s v="Are production tooling and STE/SIE design and development efforts underway?"/>
        <s v="Has a manufacturing equipment maintenance strategy been developed?"/>
        <s v="Have all tooling, test, and inspection equipment been proven on the pilot line?"/>
        <s v="Have all tooling, test and inspection equipment requirements been identified for Low Rate Initial Production (LRIP)?"/>
        <s v="Has manufacturing equipment maintenance been demonstrated on pilot line?"/>
        <s v="Have all tooling, test, and inspection equipment been proven in the Low Rate Initial Production (LRIP)?"/>
        <s v="Has all tooling, test, and inspection equipment been proven in LRIP and additional requirements identified for Full Rate Production (FRP)?"/>
        <s v="Has a manufacturing equipment maintenance schedule been demonstrated?"/>
        <s v="Are proven tooling, test, and inspection equipment in place to support maximum Full Rate Production (FRP)?"/>
        <s v="Has a planned equipment maintenance schedule been achieved?"/>
        <s v="Have all STE/SIE been validated as part of pilot line validation IAW validation plan?"/>
        <s v="Has STE/SIE validation been maintained as necessary? "/>
        <s v="Has STE/SIE revalidation been completed as necessary?"/>
        <s v="Have specialized facility requirements/needs been identified? "/>
        <s v="Has the availability of manufacturing facilities for prototype development and production been evaluated as part of the Analysis of Alternatives (AoA)?"/>
        <s v="Have manufacturing facilities been identified to produce prototypes?"/>
        <s v="Have plans for the identified manufacturing facilities been developed to produce prototypes?"/>
        <s v="Have manufacturing facilities been identified to produce the pilot line build?"/>
        <s v="Have plans for the identified manufacturing facilities been developed to produce the pilot line build?"/>
        <s v="Have manufacturing facilities been identified to produce the Low Rate Initial Production (LRIP) build?"/>
        <s v="Have plans for the identified manufacturing facilities been developed to produce the Low Rate Initial Production (LRIP) build?"/>
        <s v="Have pilot line facilities been demonstrated?"/>
        <s v="Are manufacturing facilities adequate to begin Low Rate Initial Production (LRIP)?"/>
        <s v="Are plans in place to support the transition to Full Rate Production (FRP)?"/>
        <s v="Is workplace safety adequate?"/>
        <s v="Have manufacturing facilities been demonstrated in Low Rate Initial Production (LRIP)? "/>
        <s v="Are capacity plans adequate to support Full Rate Production (FRP)? "/>
        <s v="Are the production facilities in place to meet Full Rate Production (FRP) requirements?"/>
        <s v="Has the capacity of the production facilities been demonstrated to meet Full Rate Production (FRP) requirements?"/>
        <s v="Has a manufacturing strategy been developed and integrated with an acquisition strategy?"/>
        <s v="Have prototype schedule risk mitigation efforts been incorporated into the Acquisition Strategy (AS)?"/>
        <s v="Has the manufacturing strategy been refined based upon the preferred concept?"/>
        <s v="Have prototype schedule risk mitigation efforts been initiated?"/>
        <s v="Has the initial manufacturing approach been developed?"/>
        <s v="Are all system design related manufacturing events included in the Integrated Master Plan/Schedule (IMP/S)?"/>
        <s v="Has the manufacturing risk mitigation approach for the pilot line or technology insertion programs been defined?"/>
        <s v="Has the initial manufacturing plan been developed?"/>
        <s v="Has manufacturing planning required to achieve MRL 8 been included in the Integrated Master Plan/Schedule (IMP/S)?"/>
        <s v="Have manufacturing risks been integrated into risk mitigation plans?"/>
        <s v="Have initial work instructions been developed? "/>
        <s v="Is an effective production control system in place to support the pilot line? "/>
        <s v="Has the manufacturing plan been updated for Low Rate Initial Production (LRIP)?"/>
        <s v="Have all key manufacturing risks been identified and assessed with approved mitigation plans in place?"/>
        <s v="Have work instructions been finalized? "/>
        <s v="Is an effective production control system in place to support Low Rate Initial Production (LRIP)?"/>
        <s v="Has the manufacturing plan been updated for Full Rate Production (FRP)?"/>
        <s v="Have all manufacturing risks been tracked and mitigated?"/>
        <s v="Is an effective production control system in place to support Full Rate Production (FRP)?"/>
        <s v="Have all manufacturing risks been mitigated?"/>
        <s v="Has the technology development article component list been developed with associated lead time estimates?"/>
        <s v="Is the technology development part list maturing?"/>
        <s v="Have make/buy evaluations begun?"/>
        <s v="Do the make/buy evaluations include production considerations reflecting the pilot line, Low Rate Initial Production (LRIP), and Full Rate Production (FRP) needs?"/>
        <s v="Are most material decisions complete (make/buy)?"/>
        <s v="Have material risks been identified? "/>
        <s v="Have material risk mitigation plans been developed?"/>
        <s v="Has the Bill of Materials (BOM) been initiated?"/>
        <s v="Are the make/Buy decisions and Bill of Materials (BOM) complete for pilot line build?  "/>
        <s v="Are material planning systems in place for the pilot line build?"/>
        <s v="Are the Make/Buy decisions and Bill of Materials (BOM) complete to support Low Rate Initial Production (LRIP)?"/>
        <s v="Have material planning systems been proven on the pilot line and are in place for Low Rate Initial Production (LRIP) build?"/>
        <s v="Are the Make/Buy decisions and Bill of Materials (BOM) complete enough to support Full Rate Production (FRP)?"/>
        <s v="Has the material planning system been proven in LRIP, and is it sufficient for Full Rate Production (FRP?"/>
        <s v="Have the material planning systems been validated on the Full Rate Production (FRP) build?"/>
        <m/>
      </sharedItems>
    </cacheField>
    <cacheField name="Purpose" numFmtId="0">
      <sharedItems containsBlank="1"/>
    </cacheField>
    <cacheField name="Additional Considerations" numFmtId="0">
      <sharedItems containsBlank="1"/>
    </cacheField>
    <cacheField name="Lessons Learned" numFmtId="0">
      <sharedItems containsBlank="1"/>
    </cacheField>
    <cacheField name="Answer" numFmtId="0">
      <sharedItems containsBlank="1"/>
    </cacheField>
    <cacheField name="Evidence" numFmtId="0">
      <sharedItems containsBlank="1"/>
    </cacheField>
    <cacheField name="Meets Criteria"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28">
  <r>
    <x v="0"/>
    <x v="0"/>
    <x v="0"/>
    <x v="0"/>
    <x v="0"/>
    <s v=""/>
    <s v=""/>
    <s v=""/>
    <m/>
    <m/>
    <x v="0"/>
  </r>
  <r>
    <x v="1"/>
    <x v="1"/>
    <x v="0"/>
    <x v="0"/>
    <x v="1"/>
    <s v=""/>
    <s v=""/>
    <s v=""/>
    <m/>
    <m/>
    <x v="0"/>
  </r>
  <r>
    <x v="2"/>
    <x v="2"/>
    <x v="0"/>
    <x v="0"/>
    <x v="2"/>
    <s v=""/>
    <s v=""/>
    <s v=""/>
    <m/>
    <m/>
    <x v="0"/>
  </r>
  <r>
    <x v="3"/>
    <x v="3"/>
    <x v="0"/>
    <x v="0"/>
    <x v="3"/>
    <s v=""/>
    <s v=""/>
    <s v=""/>
    <m/>
    <m/>
    <x v="0"/>
  </r>
  <r>
    <x v="4"/>
    <x v="4"/>
    <x v="0"/>
    <x v="0"/>
    <x v="4"/>
    <s v=""/>
    <s v=""/>
    <s v=""/>
    <m/>
    <m/>
    <x v="0"/>
  </r>
  <r>
    <x v="5"/>
    <x v="5"/>
    <x v="0"/>
    <x v="0"/>
    <x v="5"/>
    <s v=""/>
    <s v=""/>
    <s v=""/>
    <m/>
    <m/>
    <x v="0"/>
  </r>
  <r>
    <x v="6"/>
    <x v="6"/>
    <x v="0"/>
    <x v="0"/>
    <x v="6"/>
    <s v=""/>
    <s v=""/>
    <s v=""/>
    <m/>
    <m/>
    <x v="0"/>
  </r>
  <r>
    <x v="7"/>
    <x v="7"/>
    <x v="0"/>
    <x v="0"/>
    <x v="7"/>
    <s v=""/>
    <s v=""/>
    <s v=""/>
    <m/>
    <m/>
    <x v="0"/>
  </r>
  <r>
    <x v="8"/>
    <x v="8"/>
    <x v="0"/>
    <x v="0"/>
    <x v="8"/>
    <s v=""/>
    <s v=""/>
    <s v=""/>
    <m/>
    <m/>
    <x v="0"/>
  </r>
  <r>
    <x v="9"/>
    <x v="9"/>
    <x v="0"/>
    <x v="0"/>
    <x v="8"/>
    <s v=""/>
    <s v=""/>
    <s v=""/>
    <m/>
    <m/>
    <x v="0"/>
  </r>
  <r>
    <x v="2"/>
    <x v="2"/>
    <x v="0"/>
    <x v="1"/>
    <x v="9"/>
    <s v="Purpose: _x000a_To identify possible sources for a variety of materials that may be used in the system and understand the state of the art with respect to processes. Understanding the materials and processes (M&amp;P) state of the art provides a foundation of essen"/>
    <s v="Additional Considerations: _x000a_• Do you possess the most recent information regarding industrial base capabilities?_x000a_• Are any strategic or critical materials obtained only from sole or foreign sources?_x000a_• Are sources for critical materials financially sound w"/>
    <s v="Lessons Learned: _x000a_• Sources previously available for certain materials and/or processes may no longer exist; therefore, it is essential that the industrial base analysis be up-to-date._x000a_• For certain systems/programs, the use of foreign sources may either "/>
    <s v="Answer 1"/>
    <s v="Evidence to Support 1"/>
    <x v="0"/>
  </r>
  <r>
    <x v="3"/>
    <x v="3"/>
    <x v="0"/>
    <x v="1"/>
    <x v="10"/>
    <s v="Purpose: _x000a_To narrow down possible sources for materials and processes applying to Critical Technologies (CTs) for preferred system design alternatives. Understanding the materials and processes (M&amp;P) availability of sources provides essential information "/>
    <s v="Additional Considerations:_x000a_• Are industrial base studies current and do you possess the most recent information regarding industrial capabilities that apply to CTs?_x000a_• Are any strategic/critical materials needed for CTs obtained only from sole/foreign sour"/>
    <s v="Lessons Learned: _x000a_• Sources previously available for certain materials and/or processes may no longer exist; therefore, it is essential that the industrial base analysis be up-to-date._x000a_• For certain systems/programs, the use of foreign sources may either "/>
    <s v="Answer 2"/>
    <s v="Evidence to Support 2"/>
    <x v="0"/>
  </r>
  <r>
    <x v="4"/>
    <x v="4"/>
    <x v="0"/>
    <x v="1"/>
    <x v="11"/>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4"/>
    <x v="4"/>
    <x v="0"/>
    <x v="1"/>
    <x v="12"/>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4"/>
    <x v="4"/>
    <x v="0"/>
    <x v="1"/>
    <x v="13"/>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5"/>
    <x v="5"/>
    <x v="0"/>
    <x v="1"/>
    <x v="14"/>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5"/>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s v="Answer 3"/>
    <s v="Evidence to Support 3"/>
    <x v="0"/>
  </r>
  <r>
    <x v="5"/>
    <x v="5"/>
    <x v="0"/>
    <x v="1"/>
    <x v="16"/>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7"/>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8"/>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6"/>
    <x v="6"/>
    <x v="0"/>
    <x v="1"/>
    <x v="19"/>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6"/>
    <x v="6"/>
    <x v="0"/>
    <x v="1"/>
    <x v="20"/>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6"/>
    <x v="6"/>
    <x v="0"/>
    <x v="1"/>
    <x v="21"/>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7"/>
    <x v="7"/>
    <x v="0"/>
    <x v="1"/>
    <x v="22"/>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7"/>
    <x v="7"/>
    <x v="0"/>
    <x v="1"/>
    <x v="23"/>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7"/>
    <x v="7"/>
    <x v="0"/>
    <x v="1"/>
    <x v="24"/>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8"/>
    <x v="8"/>
    <x v="0"/>
    <x v="1"/>
    <x v="25"/>
    <s v="Purpose: _x000a_The intent is to demonstrate that the industrial base capabilities required to support the program have been analyzed and assessed to be adequate to achieve FRP objectives. After the MS C decision, IB considerations are now focused on the prime "/>
    <s v="Additional Considerations: _x000a_• Have all subcontractors/suppliers been identified? Are back-ups available for all critical items?_x000a_• Are Sole/Single/Foreign Sources being monitored for stability?_x000a_• Are industrial capabilities and capacity adequate to support"/>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8"/>
    <x v="8"/>
    <x v="0"/>
    <x v="1"/>
    <x v="26"/>
    <s v="Purpose: _x000a_The intent is to demonstrate that the industrial base capabilities required to support the program have been analyzed and assessed to be adequate to achieve FRP objectives. After the MS C decision, IB considerations are now focused on the prime "/>
    <s v="Additional Considerations: _x000a_• Have all subcontractors/suppliers been identified? Are back-ups available for all critical items?_x000a_• Are Sole/Single/Foreign Sources being monitored for stability?_x000a_• Are industrial capabilities and capacity adequate to support"/>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9"/>
    <x v="9"/>
    <x v="0"/>
    <x v="1"/>
    <x v="27"/>
    <s v="Purpose: _x000a_The intent is to demonstrate that the industrial base capabilities required to support the program have been analyzed and continue to be adequate to support FRP. After the FRP decision, IB considerations are now focused on the capability of the "/>
    <s v="Additional Considerations: _x000a_• Have all subcontractors/suppliers been identified? Are back-ups available for all critical items?_x000a_• Are Sole/Single/Foreign Sources being monitored for stability?_x000a_• Are industrial capabilities and capacity adequate to support"/>
    <s v="_x000a_Lessons Learned: _x000a_• One of the important steps for achieving this requirement is to work with the contractor/ supplier to define the supply chain/industrial base for the program, with particular emphasis on critical/pacing suppliers and long-lead items. "/>
    <m/>
    <m/>
    <x v="0"/>
  </r>
  <r>
    <x v="9"/>
    <x v="9"/>
    <x v="0"/>
    <x v="1"/>
    <x v="28"/>
    <s v="Purpose: _x000a_The intent is to demonstrate that the industrial base capabilities required to support the program have been analyzed and continue to be adequate to support FRP. After the FRP decision, IB considerations are now focused on the capability of the "/>
    <s v="Additional Considerations: _x000a_• Have all subcontractors/suppliers been identified? Are back-ups available for all critical items?_x000a_• Are Sole/Single/Foreign Sources being monitored for stability?_x000a_• Are industrial capabilities and capacity adequate to support"/>
    <s v="_x000a_Lessons Learned: _x000a_• One of the important steps for achieving this requirement is to work with the contractor/ supplier to define the supply chain/industrial base for the program, with particular emphasis on critical/pacing suppliers and long-lead items. "/>
    <m/>
    <m/>
    <x v="0"/>
  </r>
  <r>
    <x v="1"/>
    <x v="1"/>
    <x v="0"/>
    <x v="2"/>
    <x v="29"/>
    <s v="Purpose: _x000a_To begin identify new manufacturing requirements (e.g. concepts) to build future products and to use this information to explore potential solutions. This information will give decision makers insight into the risk and requirements of new manufa"/>
    <s v="Additional Considerations: _x000a_• Has manufacturing risk (i.e., availability of process, sources and materials) been considered?"/>
    <s v="Lessons Learned: _x000a_• Historically we have not adequately addressed the manufacturing risk in this phase of technology development, so we must start addressing these risk issues earlier in the system life cycle."/>
    <m/>
    <m/>
    <x v="0"/>
  </r>
  <r>
    <x v="2"/>
    <x v="2"/>
    <x v="0"/>
    <x v="2"/>
    <x v="30"/>
    <s v="Purpose: _x000a_To begin identifying manufacturing concepts to produce the product via experimentation and models and to use this information to understand the risk in pursuing these concepts. This will give decision makers insight into the risk and requirement"/>
    <s v="Additional Considerations: _x000a_• Has manufacturing risk (i.e., availability of process, sources and materials) been considered?_x000a_"/>
    <s v="Lessons Learned: _x000a_• Historically we have not adequately addressed the manufacturing risk in this phase of technology development, so we must start addressing these risk issues earlier in the system life cycle."/>
    <m/>
    <m/>
    <x v="0"/>
  </r>
  <r>
    <x v="3"/>
    <x v="3"/>
    <x v="0"/>
    <x v="2"/>
    <x v="31"/>
    <s v="Purpose: _x000a_To start assessing the manufacturing processes of the proposed alternatives so as to identify advanced manufacturing technologies required to support those alternative designs. To use this process information to understand risk of the various al"/>
    <s v="Additional Considerations: _x000a_• Has manufacturing risk (i.e., availability of process, sources and materials) been considered?_x000a_"/>
    <s v="Lessons Learned: _x000a_• Historically we have not adequately addressed the manufacturing risk in this phase of technology development, so we must start addressing these risk issues earlier in the system life cycle."/>
    <m/>
    <m/>
    <x v="0"/>
  </r>
  <r>
    <x v="4"/>
    <x v="4"/>
    <x v="0"/>
    <x v="2"/>
    <x v="32"/>
    <s v="Purpose: _x000a_To assess process capability by using data from prototype builds and similar production processes to assess if target costs are achievable. To determine whether manufacturing development efforts or new technologies are required to achieve progra"/>
    <s v="Additional Considerations: _x000a_• Has manufacturing risk (i.e., availability of process, sources and materials) been considered?_x000a_• The government program manager, the contractor, and the service-specific ManTech organization need to have a dialogue on critica"/>
    <s v="Lessons Learned: _x000a_• Historically we have not adequately addressed the manufacturing risk in this phase of technology development, so we must start addressing these risk issues earlier in the system life cycle."/>
    <m/>
    <m/>
    <x v="0"/>
  </r>
  <r>
    <x v="5"/>
    <x v="5"/>
    <x v="0"/>
    <x v="2"/>
    <x v="33"/>
    <s v="Purpose: _x000a_To assess the progress of on-going manufacturing technology efforts and, using data generated in a production relevant environment, to determine whether new efforts are required. The program manager must understand the necessary manufacturing te"/>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enters EMD."/>
    <m/>
    <m/>
    <x v="0"/>
  </r>
  <r>
    <x v="5"/>
    <x v="5"/>
    <x v="0"/>
    <x v="2"/>
    <x v="34"/>
    <s v="Purpose: _x000a_To assess the progress of on-going manufacturing technology efforts and, using data generated in a production relevant environment, to determine whether new efforts are required. The program manager must understand the necessary manufacturing te"/>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enters EMD."/>
    <m/>
    <m/>
    <x v="0"/>
  </r>
  <r>
    <x v="6"/>
    <x v="6"/>
    <x v="0"/>
    <x v="2"/>
    <x v="35"/>
    <s v="Purpose: _x000a_To ensure that adequate progress in our manufacturing technology efforts are being made by using demonstrated results from a production representative environment. The program needs to verify that the needed manufacturing technology efforts are "/>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progresses in EMD."/>
    <m/>
    <m/>
    <x v="0"/>
  </r>
  <r>
    <x v="6"/>
    <x v="6"/>
    <x v="0"/>
    <x v="2"/>
    <x v="36"/>
    <s v="Purpose: _x000a_To ensure that adequate progress in our manufacturing technology efforts are being made by using demonstrated results from a production representative environment. The program needs to verify that the needed manufacturing technology efforts are "/>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progresses in EMD."/>
    <m/>
    <m/>
    <x v="0"/>
  </r>
  <r>
    <x v="7"/>
    <x v="7"/>
    <x v="0"/>
    <x v="2"/>
    <x v="37"/>
    <s v="Purpose: _x000a_To ensure that adequate progress in the manufacturing technology efforts is being made by using demonstrated results from a pilot line environment. To demonstrate that equipment and processes utilize mature technology and are adequate to achieve"/>
    <s v="Additional Considerations: _x000a_• How faithful is the pilot line to a true production environment (personnel, equipment, processes, work instructions, etc.)?"/>
    <s v="Lessons Learned: _x000a_• One of the important steps for assuring that adequate improvement in needed manufacturing technology is being made is to work with the contractor/ supplier on what truly represents a pilot production line for your programs. This effort"/>
    <m/>
    <m/>
    <x v="0"/>
  </r>
  <r>
    <x v="7"/>
    <x v="7"/>
    <x v="0"/>
    <x v="2"/>
    <x v="38"/>
    <s v="Purpose: _x000a_To ensure that adequate progress in the manufacturing technology efforts is being made by using demonstrated results from a pilot line environment. To demonstrate that equipment and processes utilize mature technology and are adequate to achieve"/>
    <s v="Additional Considerations: _x000a_• How faithful is the pilot line to a true production environment (personnel, equipment, processes, work instructions, etc.)?"/>
    <s v="Lessons Learned: _x000a_• One of the important steps for assuring that adequate improvement in needed manufacturing technology is being made is to work with the contractor/ supplier on what truly represents a pilot production line for your programs. This effort"/>
    <m/>
    <m/>
    <x v="0"/>
  </r>
  <r>
    <x v="8"/>
    <x v="8"/>
    <x v="0"/>
    <x v="2"/>
    <x v="39"/>
    <s v="Purpose: _x000a_To assess whether manufacturing technologies efforts are required to meet Full Rate Production (FRP) requirements, and if so, to ensure they are initiated. The program constantly needs to assess if manufacturing technology efforts are needed to "/>
    <s v="Additional Considerations: _x000a_• Look closely at yields and rates during LRIP to assure that you can effectively ramp up to FRP."/>
    <s v="Lessons Learned: _x000a_• Continuously assess production process and capabilities to support program requirements._x000a_• Implementing manufacturing technologies can be a critical tool for helping overcome shortfalls – especially in cost targets."/>
    <m/>
    <m/>
    <x v="0"/>
  </r>
  <r>
    <x v="9"/>
    <x v="9"/>
    <x v="0"/>
    <x v="2"/>
    <x v="40"/>
    <s v="Purpose: _x000a_To assess manufacturing technologies to improve efforts for FRP. The program constantly needs to assess options to improve the performance. Implement manufacturing technology programs effectively can be a major tool in this effort."/>
    <s v="Additional Considerations: _x000a_• None"/>
    <s v="_x000a_Lessons Learned: _x000a_• A continuous improvement program and resultant elimination of waste (LEAN manufacturing) are critical indicators as to whether implementation of the manufacturing technologies has been truly successful."/>
    <m/>
    <m/>
    <x v="0"/>
  </r>
  <r>
    <x v="2"/>
    <x v="2"/>
    <x v="1"/>
    <x v="3"/>
    <x v="41"/>
    <s v="Purpose: _x000a_To identify manufacturability and producibility for the alternative being considered and to use this information to understand manufacturing risk in managing the transition. To see some high level process charts to support this effort, and for n"/>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2"/>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3"/>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4"/>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4"/>
    <x v="4"/>
    <x v="1"/>
    <x v="3"/>
    <x v="45"/>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4"/>
    <x v="4"/>
    <x v="1"/>
    <x v="3"/>
    <x v="46"/>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4"/>
    <x v="4"/>
    <x v="1"/>
    <x v="3"/>
    <x v="47"/>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5"/>
    <x v="5"/>
    <x v="1"/>
    <x v="3"/>
    <x v="48"/>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49"/>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50"/>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51"/>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6"/>
    <x v="6"/>
    <x v="1"/>
    <x v="3"/>
    <x v="52"/>
    <s v="Purpose: _x000a_Demonstrate process capability in a production representative environment and to obtain fidelity in assessing producibility of the product by using data from building EMD units. Data generated from this assessment will be used to make design cho"/>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crucial to continually address the producibility of hardware by assessing demonstrated process capability and, as more data becomes available, see if it will to meet production requirements."/>
    <m/>
    <m/>
    <x v="0"/>
  </r>
  <r>
    <x v="6"/>
    <x v="6"/>
    <x v="1"/>
    <x v="3"/>
    <x v="53"/>
    <s v="Purpose: _x000a_Demonstrate process capability in a production representative environment and to obtain fidelity in assessing producibility of the product by using data from building EMD units. Data generated from this assessment will be used to make design cho"/>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crucial to continually address the producibility of hardware by assessing demonstrated process capability and, as more data becomes available, see if it will to meet production requirements."/>
    <m/>
    <m/>
    <x v="0"/>
  </r>
  <r>
    <x v="7"/>
    <x v="7"/>
    <x v="1"/>
    <x v="3"/>
    <x v="54"/>
    <s v="Purpose: _x000a_Demonstrate the producibility in a pilot line environment and obtain more fidelity assessing producibility/process capability by using data from building EMD units. To use this information to ensure that all producibility issues have been resolv"/>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important to continue to address the producibility of hardware by assessing demonstrated process capability and, as more data becomes available, see if it will meet production requirements."/>
    <m/>
    <m/>
    <x v="0"/>
  </r>
  <r>
    <x v="7"/>
    <x v="7"/>
    <x v="1"/>
    <x v="3"/>
    <x v="55"/>
    <s v="Purpose: _x000a_Demonstrate the producibility in a pilot line environment and obtain more fidelity assessing producibility/process capability by using data from building EMD units. To use this information to ensure that all producibility issues have been resolv"/>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important to continue to address the producibility of hardware by assessing demonstrated process capability and, as more data becomes available, see if it will meet production requirements."/>
    <m/>
    <m/>
    <x v="0"/>
  </r>
  <r>
    <x v="8"/>
    <x v="8"/>
    <x v="1"/>
    <x v="3"/>
    <x v="56"/>
    <s v="Purpose: _x000a_To use demonstrated results from a LRIP line to verify producibility improvements have been effective and that processes are stable, adequately controlled, and capable to meet program objectives. Use the data to analyze the producibility to iden"/>
    <s v="Additional Considerations: _x000a_• What are the ultimate manufacturing cost implications when in production?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8"/>
    <x v="8"/>
    <x v="1"/>
    <x v="3"/>
    <x v="57"/>
    <s v="Purpose: _x000a_To use demonstrated results from a LRIP line to verify producibility improvements have been effective and that processes are stable, adequately controlled, and capable to meet program objectives. Use the data to analyze the producibility to iden"/>
    <s v="Additional Considerations: _x000a_• What are the ultimate manufacturing cost implications when in production?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58"/>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59"/>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60"/>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0"/>
    <x v="0"/>
    <x v="1"/>
    <x v="4"/>
    <x v="61"/>
    <s v="Purpose: _x000a_The focus at this lowest level of manufacturing readiness is to address manufacturing shortfalls and opportunities to advance the state of the art in manufacturing. Basic research (funded by budget) begins in the form of studies. MRL assessments"/>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1"/>
    <x v="1"/>
    <x v="1"/>
    <x v="4"/>
    <x v="62"/>
    <s v="Purpose: _x000a_To obtain knowledge that would be useful to leadership to make informed decisions on which future manufacturing risk areas or technologies they may wish to address when proceeding into the Applied Research phase or to define manufacturing areas "/>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1"/>
    <x v="1"/>
    <x v="1"/>
    <x v="4"/>
    <x v="63"/>
    <s v="Purpose: _x000a_To obtain knowledge that would be useful to leadership to make informed decisions on which future manufacturing risk areas or technologies they may wish to address when proceeding into the Applied Research phase or to define manufacturing areas "/>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2"/>
    <x v="2"/>
    <x v="1"/>
    <x v="4"/>
    <x v="64"/>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2"/>
    <x v="2"/>
    <x v="1"/>
    <x v="4"/>
    <x v="65"/>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2"/>
    <x v="2"/>
    <x v="1"/>
    <x v="4"/>
    <x v="66"/>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3"/>
    <x v="3"/>
    <x v="1"/>
    <x v="4"/>
    <x v="67"/>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68"/>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69"/>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70"/>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4"/>
    <x v="4"/>
    <x v="1"/>
    <x v="4"/>
    <x v="71"/>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2"/>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3"/>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4"/>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5"/>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5"/>
    <x v="5"/>
    <x v="1"/>
    <x v="4"/>
    <x v="76"/>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7"/>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8"/>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9"/>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80"/>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6"/>
    <x v="6"/>
    <x v="1"/>
    <x v="4"/>
    <x v="81"/>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2"/>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3"/>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4"/>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5"/>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6"/>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7"/>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8"/>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8"/>
    <x v="8"/>
    <x v="1"/>
    <x v="4"/>
    <x v="89"/>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0"/>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1"/>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2"/>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3"/>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9"/>
    <x v="9"/>
    <x v="1"/>
    <x v="4"/>
    <x v="94"/>
    <s v="Purpose: _x000a_To ensure all materials, tooling, inspection and test equipment, facilities and manpower are in place and have met full rate production requirements, that rate production unit costs meet goals, and funding is sufficient for production at require"/>
    <s v="Additional Considerations:_x000a_• Are there unresolved design changes that need to be implemented, and if so, what are the impacts on manufacturing?_x000a_• Are the manufacturing processes under control?_x000a_• Can the system be reliably produced?_x000a_• Are critical processe"/>
    <s v="_x000a_Lessons Learned: _x000a_• Assessments of manufacturing readiness may be used to capture manufacturing product documentation. _x000a_• It is a best practice to incorporate the preservation of such manufacturing product technical data packages in the Data Management S"/>
    <m/>
    <m/>
    <x v="0"/>
  </r>
  <r>
    <x v="9"/>
    <x v="9"/>
    <x v="1"/>
    <x v="4"/>
    <x v="95"/>
    <s v="Purpose: _x000a_To ensure all materials, tooling, inspection and test equipment, facilities and manpower are in place and have met full rate production requirements, that rate production unit costs meet goals, and funding is sufficient for production at require"/>
    <s v="Additional Considerations:_x000a_• Are there unresolved design changes that need to be implemented, and if so, what are the impacts on manufacturing?_x000a_• Are the manufacturing processes under control?_x000a_• Can the system be reliably produced?_x000a_• Are critical processe"/>
    <s v="_x000a_Lessons Learned: _x000a_• Assessments of manufacturing readiness may be used to capture manufacturing product documentation. _x000a_• It is a best practice to incorporate the preservation of such manufacturing product technical data packages in the Data Management S"/>
    <m/>
    <m/>
    <x v="0"/>
  </r>
  <r>
    <x v="1"/>
    <x v="1"/>
    <x v="2"/>
    <x v="5"/>
    <x v="96"/>
    <s v="Purpose: _x000a_To identify approaches that will be used in later phases to assess cost and understand cost risk in pursuing the design. Provide decision makers insight into the cost risk and associated mitigation options."/>
    <s v="Additional Considerations: _x000a_• Will new materials or product development concepts most likely be required?_x000a_• Is a new technology or process available to process the material?_x000a_• Scrap, rework and repair from low-yield processes must be considered in the tot"/>
    <s v="Lessons Learned: _x000a_• Historically we have not adequately addressed manufacturing risk in this phase of technology development, so we must start addressing what model we will use to assess the manufacturing cost earlier in the acquisition process. _x000a_• The pr"/>
    <m/>
    <m/>
    <x v="0"/>
  </r>
  <r>
    <x v="2"/>
    <x v="2"/>
    <x v="2"/>
    <x v="5"/>
    <x v="97"/>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2"/>
    <x v="2"/>
    <x v="2"/>
    <x v="5"/>
    <x v="98"/>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2"/>
    <x v="2"/>
    <x v="2"/>
    <x v="5"/>
    <x v="99"/>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3"/>
    <x v="3"/>
    <x v="2"/>
    <x v="5"/>
    <x v="100"/>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3"/>
    <x v="3"/>
    <x v="2"/>
    <x v="5"/>
    <x v="101"/>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3"/>
    <x v="3"/>
    <x v="2"/>
    <x v="5"/>
    <x v="102"/>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4"/>
    <x v="4"/>
    <x v="2"/>
    <x v="5"/>
    <x v="103"/>
    <s v="Purpose: _x000a_To obtain more fidelity in the production cost estimates by using actual data from building prototypes or by using acceptable simulation models to focus on cost drivers. At this stage, details in the cost model should address specific manufactur"/>
    <s v="Additional Considerations: _x000a_• There should be a reduced reliance on laboratory processes and resources at this stage._x000a_• Are design-to-cost (DTC) goals being met? _x000a_• Is actual cost data from prototype builds being used?_x000a_• Include quantities in the DTC esti"/>
    <s v="Lessons Learned: _x000a_• The process of cost estimation and allocation has the highest probability of success if identified and implemented early in the product life-cycle._x000a_• Quantities and rates at this phase are still somewhat notional."/>
    <m/>
    <m/>
    <x v="0"/>
  </r>
  <r>
    <x v="4"/>
    <x v="4"/>
    <x v="2"/>
    <x v="5"/>
    <x v="104"/>
    <s v="Purpose: _x000a_To obtain more fidelity in the production cost estimates by using actual data from building prototypes or by using acceptable simulation models to focus on cost drivers. At this stage, details in the cost model should address specific manufactur"/>
    <s v="Additional Considerations: _x000a_• There should be a reduced reliance on laboratory processes and resources at this stage._x000a_• Are design-to-cost (DTC) goals being met? _x000a_• Is actual cost data from prototype builds being used?_x000a_• Include quantities in the DTC esti"/>
    <s v="Lessons Learned: _x000a_• The process of cost estimation and allocation has the highest probability of success if identified and implemented early in the product life-cycle._x000a_• Quantities and rates at this phase are still somewhat notional."/>
    <m/>
    <m/>
    <x v="0"/>
  </r>
  <r>
    <x v="5"/>
    <x v="5"/>
    <x v="2"/>
    <x v="5"/>
    <x v="105"/>
    <s v="Purpose: _x000a_To obtain more fidelity in the production cost model it should be updated using data from building and testing the prototypes in a relevant environment. The program needs to have more realism in the production cost by using actual build data or "/>
    <s v="Additional Considerations: _x000a_• Include quantities in the DTC estimate. DTC numbers should have more fidelity, if not completely firm, and assumptions should be clearly identified. _x000a_• Are cost targets in place and cost drivers clearly understood?_x000a_"/>
    <s v="_x000a_Lessons Learned: _x000a_• The cost model needs to be populated actual prototype build data as soon as possible, and it must continually be updated to reflect changes."/>
    <m/>
    <m/>
    <x v="0"/>
  </r>
  <r>
    <x v="6"/>
    <x v="6"/>
    <x v="2"/>
    <x v="5"/>
    <x v="106"/>
    <s v="Purpose: _x000a_To use demonstrated results from a production representative environment to verify production cost requirements can be met. The program must verify the realism in the cost model by using demonstrated data from a production representative environ"/>
    <s v="Additional Considerations: _x000a_• Is actual cost data from prototype builds being used?_x000a_• Include updated costs from suppliers including yield/rework which might affect cost of LRIP and FRP manufacturing."/>
    <s v="Lessons Learned: _x000a_• The cost model needs to be populated with actual production representative build data, and it must continually be updated to reflect changes."/>
    <m/>
    <m/>
    <x v="0"/>
  </r>
  <r>
    <x v="7"/>
    <x v="7"/>
    <x v="2"/>
    <x v="5"/>
    <x v="107"/>
    <s v="Purpose: _x000a_To use demonstrated results from a pilot line environment to verify you can achieve you production cost requirements."/>
    <s v="Additional Considerations: _x000a_• None"/>
    <s v="Lessons Learned: _x000a_The key is to continually update your cost models as more data becomes available."/>
    <m/>
    <m/>
    <x v="0"/>
  </r>
  <r>
    <x v="8"/>
    <x v="8"/>
    <x v="2"/>
    <x v="5"/>
    <x v="108"/>
    <s v="Purpose: _x000a_To use demonstrated results from a LRIP line to verify you can achieve you production rate cost requirements."/>
    <s v="Additional Considerations: _x000a_• None"/>
    <s v="Lessons Learned: _x000a_The key is to continually update your cost models as more data becomes available."/>
    <m/>
    <m/>
    <x v="0"/>
  </r>
  <r>
    <x v="9"/>
    <x v="9"/>
    <x v="2"/>
    <x v="5"/>
    <x v="109"/>
    <s v="Purpose: _x000a_Make our cost projections."/>
    <s v="_x000a_Additional Considerations: _x000a_• None"/>
    <s v="Lessons Learned: _x000a_The key is to continually update your cost models as more data becomes available."/>
    <m/>
    <m/>
    <x v="0"/>
  </r>
  <r>
    <x v="0"/>
    <x v="0"/>
    <x v="2"/>
    <x v="6"/>
    <x v="110"/>
    <s v="Purpose: _x000a_To begin identifying manufacturing cost implications, and to use this information to understand the risk in pursuing a given approach. To allow decision makers insight into the cost risk and start exploring mitigation options to address identifi"/>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The process of cost estimation and allocation has the highest probability of success if identified and implemented early in the product life-cycle."/>
    <m/>
    <m/>
    <x v="0"/>
  </r>
  <r>
    <x v="1"/>
    <x v="1"/>
    <x v="2"/>
    <x v="6"/>
    <x v="111"/>
    <s v="_x000a_Purpose: _x000a_To begin identifying manufacturing cost elements, and to use this information to understand the risk in pursuing a proposed approach. To allow decision makers insight into the cost risk and start exploring mitigation options to address identifi"/>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The process of cost estimation and allocation has the highest probability of success if identified and implemented early in the product life-cycle."/>
    <m/>
    <m/>
    <x v="0"/>
  </r>
  <r>
    <x v="2"/>
    <x v="2"/>
    <x v="2"/>
    <x v="6"/>
    <x v="112"/>
    <s v="Purpose: _x000a_To begin identifying the sensitivity of manufacturing cost drivers, and to use this information to understand the risk in pursuing this approach. To allow decision makers insight into the cost risk and start exploring mitigation options to addre"/>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The process of cost estimation and allocation has the highest probability of success if identified and implemented early in the product life-cycle."/>
    <m/>
    <m/>
    <x v="0"/>
  </r>
  <r>
    <x v="3"/>
    <x v="3"/>
    <x v="2"/>
    <x v="6"/>
    <x v="113"/>
    <s v="Purpose: _x000a_To begin assessing the producibility of the alternatives being considered and ensure production cost models support the AoA. To use this information to understand the cost risk in selecting the alternatives to proceed with into the TD phase. To "/>
    <s v="Additional Considerations: _x000a_• Cost analysis in the AoA can be done with a cost-weighted Pugh Concept Selection (PCS) or Quality Function Deployment (QFD) on those items with costs that can be modeled._x000a_"/>
    <s v="Lessons Learned: _x000a_• The process of cost estimation and allocation has the highest probability of success if identified and implemented early in the product life-cycle._x000a_• To accomplish this, use the data that is generated by a producibility analysis in the"/>
    <m/>
    <m/>
    <x v="0"/>
  </r>
  <r>
    <x v="3"/>
    <x v="3"/>
    <x v="2"/>
    <x v="6"/>
    <x v="114"/>
    <s v="Purpose: _x000a_To begin assessing the producibility of the alternatives being considered and ensure production cost models support the AoA. To use this information to understand the cost risk in selecting the alternatives to proceed with into the TD phase. To "/>
    <s v="Additional Considerations: _x000a_• Cost analysis in the AoA can be done with a cost-weighted Pugh Concept Selection (PCS) or Quality Function Deployment (QFD) on those items with costs that can be modeled._x000a_"/>
    <s v="Lessons Learned: _x000a_• The process of cost estimation and allocation has the highest probability of success if identified and implemented early in the product life-cycle._x000a_• To accomplish this, use the data that is generated by a producibility analysis in the"/>
    <m/>
    <m/>
    <x v="0"/>
  </r>
  <r>
    <x v="4"/>
    <x v="4"/>
    <x v="2"/>
    <x v="6"/>
    <x v="115"/>
    <s v="Purpose: _x000a_To obtain more fidelity in the production cost estimates by using data from building prototypes to assess whether target costs are achievable. To use data generated from cost analyses to make design choices, make/buy, capacity, process capabilit"/>
    <s v="Additional Considerations: _x000a_• Are design-to-cost (DTC) goals being met? _x000a_• Is actual cost data from prototype builds being used?_x000a_• Include quantities in the DTC estimate. DTC numbers should have more fidelity, if not completely firm, and assumptions shoul"/>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4"/>
    <x v="4"/>
    <x v="2"/>
    <x v="6"/>
    <x v="116"/>
    <s v="Purpose: _x000a_To obtain more fidelity in the production cost estimates by using data from building prototypes to assess whether target costs are achievable. To use data generated from cost analyses to make design choices, make/buy, capacity, process capabilit"/>
    <s v="Additional Considerations: _x000a_• Are design-to-cost (DTC) goals being met? _x000a_• Is actual cost data from prototype builds being used?_x000a_• Include quantities in the DTC estimate. DTC numbers should have more fidelity, if not completely firm, and assumptions shoul"/>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7"/>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8"/>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9"/>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20"/>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6"/>
    <x v="6"/>
    <x v="2"/>
    <x v="6"/>
    <x v="121"/>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2"/>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3"/>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4"/>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7"/>
    <x v="7"/>
    <x v="2"/>
    <x v="6"/>
    <x v="125"/>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7"/>
    <x v="7"/>
    <x v="2"/>
    <x v="6"/>
    <x v="126"/>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7"/>
    <x v="7"/>
    <x v="2"/>
    <x v="6"/>
    <x v="127"/>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8"/>
    <x v="8"/>
    <x v="2"/>
    <x v="6"/>
    <x v="128"/>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29"/>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24"/>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30"/>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31"/>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9"/>
    <x v="9"/>
    <x v="2"/>
    <x v="6"/>
    <x v="132"/>
    <s v="Purpose: _x000a_Make accurate cost projections. The program actual production build cost data should support affordability projections and provide cost-reduction opportunities."/>
    <s v="Additional Considerations: _x000a_• Is actual cost data from FRP builds being used?_x000a_• Include updated costs from suppliers including yield/rework which might affect cost of FRP manufacturing."/>
    <s v="Lessons Learned: _x000a_• The cost model should at this point look at obsolescence issues and product refresh. These could change the cost model but might not be considered._x000a_• If the design changes for any reason the system might be at a lower MRL after the des"/>
    <m/>
    <m/>
    <x v="0"/>
  </r>
  <r>
    <x v="9"/>
    <x v="9"/>
    <x v="2"/>
    <x v="6"/>
    <x v="133"/>
    <s v="Purpose: _x000a_Make accurate cost projections. The program actual production build cost data should support affordability projections and provide cost-reduction opportunities."/>
    <s v="Additional Considerations: _x000a_• Is actual cost data from FRP builds being used?_x000a_• Include updated costs from suppliers including yield/rework which might affect cost of FRP manufacturing."/>
    <s v="Lessons Learned: _x000a_• The cost model should at this point look at obsolescence issues and product refresh. These could change the cost model but might not be considered._x000a_• If the design changes for any reason the system might be at a lower MRL after the des"/>
    <m/>
    <m/>
    <x v="0"/>
  </r>
  <r>
    <x v="0"/>
    <x v="0"/>
    <x v="2"/>
    <x v="7"/>
    <x v="134"/>
    <s v="Purpose: _x000a_To begin identify manufacturing cost implications, and to use this information to allow decision makers insight into potential investments to address identified cost risks. Researchers need to begin a process for understanding the manufacturing "/>
    <s v="Additional Considerations: _x000a_• What are the major impediments to manufacturing with new materials or achieving streamlined manufacturing processes producing more affordable products?"/>
    <s v="Lessons Learned: _x000a_• The process of cost estimation and allocation has the highest probability of success if assessing cost and identifying potential investments to reduce cost starts before hardware development really begins."/>
    <m/>
    <m/>
    <x v="0"/>
  </r>
  <r>
    <x v="1"/>
    <x v="1"/>
    <x v="2"/>
    <x v="7"/>
    <x v="135"/>
    <s v="Purpose: _x000a_To assess whether there are adequate funds budgeted to reach an MRL 3. The S&amp;T community needs to have funds available on R&amp;D programs to address manufacturing maturity, and if it is anticipated that there will be hardware migrating to the next "/>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Product affordability has the highest likelihood of being achieved if identification of investments to reduce cost is completed at during hardware development._x000a_• Budgeting efforts should be instituted to mature the manufacturing proces"/>
    <m/>
    <m/>
    <x v="0"/>
  </r>
  <r>
    <x v="2"/>
    <x v="2"/>
    <x v="2"/>
    <x v="7"/>
    <x v="136"/>
    <s v="Purpose: _x000a_To make sure that there is a reasonable budget to mature the manufacturing process to a MRL 4. To effectively transition S&amp;T or R&amp;D projects one must address the manufacturing maturity of the prototypes being developed. Budgeting the funds to re"/>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Product affordability has the highest likelihood of being achieved if potential investments to reduce cost are programmed during the process of hardware development._x000a_• Budgeting efforts should be instituted to mature the manufacturing "/>
    <m/>
    <m/>
    <x v="0"/>
  </r>
  <r>
    <x v="3"/>
    <x v="3"/>
    <x v="2"/>
    <x v="7"/>
    <x v="137"/>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38"/>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39"/>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40"/>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4"/>
    <x v="4"/>
    <x v="2"/>
    <x v="7"/>
    <x v="141"/>
    <s v="Purpose: _x000a_To ensure the budget is adequate to achieve MRL 6, and to ensure there are mitigation plans in place to address all outstanding issues from initial Manufacturing Readiness Assessments. The program manager needs to assess the funding available to"/>
    <s v="Additional Considerations: _x000a_• Does equipment, tooling, or STE at the supplier require investment? If so, who will fund it?_x000a_• Consider leveraging outside investments (e.g., SBIR, IRAD, ManTech, etc.)."/>
    <s v="Lessons Learned: _x000a_• Product affordability has the highest likelihood of being achieved if investments to reduce cost have begun by this stage."/>
    <m/>
    <m/>
    <x v="0"/>
  </r>
  <r>
    <x v="4"/>
    <x v="4"/>
    <x v="2"/>
    <x v="7"/>
    <x v="142"/>
    <s v="Purpose: _x000a_To ensure the budget is adequate to achieve MRL 6, and to ensure there are mitigation plans in place to address all outstanding issues from initial Manufacturing Readiness Assessments. The program manager needs to assess the funding available to"/>
    <s v="Additional Considerations: _x000a_• Does equipment, tooling, or STE at the supplier require investment? If so, who will fund it?_x000a_• Consider leveraging outside investments (e.g., SBIR, IRAD, ManTech, etc.)."/>
    <s v="Lessons Learned: _x000a_• Product affordability has the highest likelihood of being achieved if investments to reduce cost have begun by this stage."/>
    <m/>
    <m/>
    <x v="0"/>
  </r>
  <r>
    <x v="5"/>
    <x v="5"/>
    <x v="2"/>
    <x v="7"/>
    <x v="143"/>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5"/>
    <x v="5"/>
    <x v="2"/>
    <x v="7"/>
    <x v="144"/>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5"/>
    <x v="5"/>
    <x v="2"/>
    <x v="7"/>
    <x v="145"/>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6"/>
    <x v="6"/>
    <x v="2"/>
    <x v="7"/>
    <x v="146"/>
    <s v="Purpose: _x000a_To use demonstrated results from a production representative environment to ensure production requirements can be met. To use data for updating budgets to achieve an MRL 8 and ensure all manufacturing risks that are identified have approved miti"/>
    <s v="Additional Considerations: _x000a_• You need actual build costs compared to original estimates to validate whether return on investment (ROI) is adequate to justify further investment._x000a_• Costs for subsystems and materials must be applicable to the objective mil"/>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7"/>
    <x v="147"/>
    <s v="Purpose: _x000a_To use demonstrated results from a production representative environment to ensure production requirements can be met. To use data for updating budgets to achieve an MRL 8 and ensure all manufacturing risks that are identified have approved miti"/>
    <s v="Additional Considerations: _x000a_• You need actual build costs compared to original estimates to validate whether return on investment (ROI) is adequate to justify further investment._x000a_• Costs for subsystems and materials must be applicable to the objective mil"/>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7"/>
    <x v="7"/>
    <x v="2"/>
    <x v="7"/>
    <x v="148"/>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7"/>
    <x v="7"/>
    <x v="2"/>
    <x v="7"/>
    <x v="149"/>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7"/>
    <x v="7"/>
    <x v="2"/>
    <x v="7"/>
    <x v="150"/>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8"/>
    <x v="8"/>
    <x v="2"/>
    <x v="7"/>
    <x v="151"/>
    <s v="Purpose: _x000a_To use demonstrated results from a LRIP line to verify an adequate budget exists to achieve production rate requirements and that all manufacturing risks areas have approved mitigation plans. The program manager must verify the realism of the bu"/>
    <s v="Additional Considerations: _x000a_• Is actual cost data from LRI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8"/>
    <x v="8"/>
    <x v="2"/>
    <x v="7"/>
    <x v="152"/>
    <s v="Purpose: _x000a_To use demonstrated results from a LRIP line to verify an adequate budget exists to achieve production rate requirements and that all manufacturing risks areas have approved mitigation plans. The program manager must verify the realism of the bu"/>
    <s v="Additional Considerations: _x000a_• Is actual cost data from LRI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9"/>
    <x v="9"/>
    <x v="2"/>
    <x v="7"/>
    <x v="153"/>
    <s v="Purpose: _x000a_To verify you have an adequate budget to achieve you production rate requirements. The program manager must continually verify the realism of the budget by using actual build data from a production environment to ensure confidence in meeting pro"/>
    <s v="Additional Considerations: _x000a_• Is actual cost data from FR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0"/>
    <x v="0"/>
    <x v="3"/>
    <x v="8"/>
    <x v="154"/>
    <s v="Purpose: _x000a_To begin to identify material properties identified for research, and use this information to allow decision makers insight into potential investments to address those properties. Researchers must begin understanding and developing material prop"/>
    <s v="Additional Considerations: _x000a_• Consider historically known material limitations and compatibility issues."/>
    <s v="Lessons Learned: _x000a_• Historically materials manufacturability and producibility issues are ignored early in R&amp;D so identifying potential materials manufacturability issues at this point will reduce effort in later stages of the product life cycle."/>
    <m/>
    <m/>
    <x v="0"/>
  </r>
  <r>
    <x v="1"/>
    <x v="1"/>
    <x v="3"/>
    <x v="8"/>
    <x v="155"/>
    <s v="Purpose: _x000a_To begin predicting material properties and characteristics from research being performed. S&amp;T organizations such as service laboratories and research organizations in academia and industry must begin working with the acquisition community at th"/>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istorically materials manufacturability and producibility issues are ignored early in R&amp;D. _x000a_• This is a good time to identify materials producibility and manufacturability risks to the R&amp;D community before transitioning so they can un"/>
    <m/>
    <m/>
    <x v="0"/>
  </r>
  <r>
    <x v="2"/>
    <x v="2"/>
    <x v="3"/>
    <x v="8"/>
    <x v="156"/>
    <s v="Purpose: _x000a_To assess the properties of the materials being proposed to transition into acquisition. To effectively transition R&amp;D projects one must address the manufacturing maturity of the materials being developed."/>
    <s v="Additional Considerations: _x000a_• Consider historically known material limitations and compatibility issues. _x000a_• Consider manufacturing issues in life-cycle cost, quality, and cycle time from literature, simulation or technology demonstration."/>
    <s v="Lessons Learned: _x000a_• Materials producibility and manufacturability risks must be presented to the to the R&amp;D community before transitioning so they can understand potential risk of making the product."/>
    <m/>
    <m/>
    <x v="0"/>
  </r>
  <r>
    <x v="3"/>
    <x v="3"/>
    <x v="3"/>
    <x v="8"/>
    <x v="157"/>
    <s v="Purpose: _x000a_To assess the maturity of proposed materials to understand manufacturing risk to program. The materials produced in a laboratory environment should be assessed to determine additional steps needed to achieve program requirements."/>
    <s v="Additional Considerations: _x000a_• Consider materials use in similar products or technology demonstrators and lessons learned from each._x000a_• New materials maybe new to the industry, new to the product/program, new to the supplier, critical to the program, or pre"/>
    <s v="Lessons Learned: _x000a_• Materials producibility and manufacturability risks must be presented to the acquisition community before transitioning to understand the overall risk of achieving program objectives."/>
    <m/>
    <m/>
    <x v="0"/>
  </r>
  <r>
    <x v="4"/>
    <x v="4"/>
    <x v="3"/>
    <x v="8"/>
    <x v="158"/>
    <s v="Purpose: _x000a_To understand how the materials are being produced for prototypes and compare those results to what is required to achieve program objectives. To do initial assessment of materials in a production relevant environment. Use this information to pu"/>
    <s v="Additional Considerations: _x000a_• Materials may be new to the industry, new to the product/program, new to the supplier, critical to the program, or present risk due to availability/compatibility/criticality._x000a_• Consider lead times, obsolescence, new suppliers"/>
    <s v="_x000a__x000a_Lessons Learned: _x000a_• Materials producibility and manufacturability risks must be presented to the acquisition community before transitioning to understand the overall risk of achieving program objectives._x000a_• Develop a plan to address material maturity ris"/>
    <m/>
    <m/>
    <x v="0"/>
  </r>
  <r>
    <x v="4"/>
    <x v="4"/>
    <x v="3"/>
    <x v="8"/>
    <x v="159"/>
    <s v="Purpose: _x000a_To understand how the materials are being produced for prototypes and compare those results to what is required to achieve program objectives. To do initial assessment of materials in a production relevant environment. Use this information to pu"/>
    <s v="Additional Considerations: _x000a_• Materials may be new to the industry, new to the product/program, new to the supplier, critical to the program, or present risk due to availability/compatibility/criticality._x000a_• Consider lead times, obsolescence, new suppliers"/>
    <s v="_x000a__x000a_Lessons Learned: _x000a_• Materials producibility and manufacturability risks must be presented to the acquisition community before transitioning to understand the overall risk of achieving program objectives._x000a_• Develop a plan to address material maturity ris"/>
    <m/>
    <m/>
    <x v="0"/>
  </r>
  <r>
    <x v="5"/>
    <x v="5"/>
    <x v="3"/>
    <x v="8"/>
    <x v="160"/>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5"/>
    <x v="5"/>
    <x v="3"/>
    <x v="8"/>
    <x v="161"/>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5"/>
    <x v="5"/>
    <x v="3"/>
    <x v="8"/>
    <x v="162"/>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6"/>
    <x v="6"/>
    <x v="3"/>
    <x v="8"/>
    <x v="163"/>
    <s v="Purpose: _x000a_To use demonstrated results from a production representative environment to verify material specifications are sufficiently mature to achieve production requirements."/>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m/>
    <m/>
    <x v="0"/>
  </r>
  <r>
    <x v="6"/>
    <x v="6"/>
    <x v="3"/>
    <x v="8"/>
    <x v="164"/>
    <s v="Purpose: _x000a_To use demonstrated results from a production representative environment to verify material specifications are sufficiently mature to achieve production requirements."/>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m/>
    <m/>
    <x v="0"/>
  </r>
  <r>
    <x v="7"/>
    <x v="7"/>
    <x v="3"/>
    <x v="8"/>
    <x v="165"/>
    <s v="Purpose: _x000a_To use demonstrated data from a pilot line environment to verify material specifications are mature and sufficient to achieve production requirements for LRIP."/>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i.e. LRIP)."/>
    <m/>
    <m/>
    <x v="0"/>
  </r>
  <r>
    <x v="7"/>
    <x v="7"/>
    <x v="3"/>
    <x v="8"/>
    <x v="166"/>
    <s v="Purpose: _x000a_To use demonstrated data from a pilot line environment to verify material specifications are mature and sufficient to achieve production requirements for LRIP."/>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i.e. LRIP)."/>
    <m/>
    <m/>
    <x v="0"/>
  </r>
  <r>
    <x v="8"/>
    <x v="8"/>
    <x v="3"/>
    <x v="8"/>
    <x v="167"/>
    <s v="Purpose: _x000a_To assure all material is being controlled by a specification in LRIP. To use the demonstrated results from a LRIP line to verify adequate maturity to achieve production rate requirements and that all manufacturing risk areas have approved mitig"/>
    <s v="Additional Considerations: _x000a_• Are new materials being introduced at this stage of the program? If so, you need to carefully assess whether potential impacts to production might outweigh the apparent benefit of any new materials."/>
    <s v="Lessons Learned: _x000a_• Maturity of material specifications must be continually evaluated. This area historically represents a significant amount of risk and must be closely monitored."/>
    <m/>
    <m/>
    <x v="0"/>
  </r>
  <r>
    <x v="8"/>
    <x v="8"/>
    <x v="3"/>
    <x v="8"/>
    <x v="168"/>
    <s v="Purpose: _x000a_To assure all material is being controlled by a specification in LRIP. To use the demonstrated results from a LRIP line to verify adequate maturity to achieve production rate requirements and that all manufacturing risk areas have approved mitig"/>
    <s v="Additional Considerations: _x000a_• Are new materials being introduced at this stage of the program? If so, you need to carefully assess whether potential impacts to production might outweigh the apparent benefit of any new materials."/>
    <s v="Lessons Learned: _x000a_• Maturity of material specifications must be continually evaluated. This area historically represents a significant amount of risk and must be closely monitored."/>
    <m/>
    <m/>
    <x v="0"/>
  </r>
  <r>
    <x v="9"/>
    <x v="9"/>
    <x v="3"/>
    <x v="8"/>
    <x v="169"/>
    <s v="Purpose: _x000a_To verify the material specifications are under control as the program achieves production rate requirements. The program must constantly assess material maturity in achieving production requirements."/>
    <s v="Additional Considerations: _x000a_• None"/>
    <s v="Lessons Learned: _x000a_• It is crucial to continually assess material maturity data to ensure program objectives will be met."/>
    <m/>
    <m/>
    <x v="0"/>
  </r>
  <r>
    <x v="1"/>
    <x v="1"/>
    <x v="3"/>
    <x v="9"/>
    <x v="170"/>
    <s v="Purpose: _x000a_To begin assessing the availability of the materials required. The S&amp;T community needs to begin assessing the availability of the material for their programs and to start addressing any issues identified. If it is anticipated that there will be "/>
    <s v="Additional Considerations: _x000a_• Consider historically known material limitations and compatibility issues. _x000a_• Will new materials or product development concepts most likely be required?_x000a_• Is a new technology or process available to process the material?"/>
    <s v="Lessons Learned: _x000a_• Historically materials manufacturability and producibility issues are ignored early in R&amp;D. _x000a_• This is a good time to identify materials producibility and manufacturability risks to the R&amp;D community before transitioning so they can un"/>
    <m/>
    <m/>
    <x v="0"/>
  </r>
  <r>
    <x v="2"/>
    <x v="2"/>
    <x v="3"/>
    <x v="9"/>
    <x v="171"/>
    <s v="Purpose: _x000a_To assess the material availability of projects being proposed to transition into acquisition. To effectively transition S&amp;T projects one must address the availability issues of the materials being developed for R&amp;D projects being considered f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istorically materials manufacturability and producibility issues are ignored early in R&amp;D where we start transitioning hardware from the labs to acquisition. _x000a_• This is a good time to identify materials producibility and manufacturabi"/>
    <m/>
    <m/>
    <x v="0"/>
  </r>
  <r>
    <x v="3"/>
    <x v="3"/>
    <x v="3"/>
    <x v="9"/>
    <x v="172"/>
    <s v="Purpose: _x000a_To assess the availability of proposed materials to understand the manufacturing risk to the program. The lead times for proposed materials for the program should be identified at this stage. Those with long lead times need to be closely monit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ardware availability must be closely monitored as the program transitions from the R&amp;D phase to Acquisition, and it is important to understand and assess lead times of critical materials needed to support the TD phase."/>
    <m/>
    <m/>
    <x v="0"/>
  </r>
  <r>
    <x v="3"/>
    <x v="3"/>
    <x v="3"/>
    <x v="9"/>
    <x v="173"/>
    <s v="Purpose: _x000a_To assess the availability of proposed materials to understand the manufacturing risk to the program. The lead times for proposed materials for the program should be identified at this stage. Those with long lead times need to be closely monit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ardware availability must be closely monitored as the program transitions from the R&amp;D phase to Acquisition, and it is important to understand and assess lead times of critical materials needed to support the TD phase."/>
    <m/>
    <m/>
    <x v="0"/>
  </r>
  <r>
    <x v="4"/>
    <x v="4"/>
    <x v="3"/>
    <x v="9"/>
    <x v="174"/>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4"/>
    <x v="4"/>
    <x v="3"/>
    <x v="9"/>
    <x v="175"/>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4"/>
    <x v="4"/>
    <x v="3"/>
    <x v="9"/>
    <x v="176"/>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5"/>
    <x v="5"/>
    <x v="3"/>
    <x v="9"/>
    <x v="177"/>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78"/>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79"/>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80"/>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6"/>
    <x v="6"/>
    <x v="3"/>
    <x v="9"/>
    <x v="181"/>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6"/>
    <x v="6"/>
    <x v="3"/>
    <x v="9"/>
    <x v="182"/>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6"/>
    <x v="6"/>
    <x v="3"/>
    <x v="9"/>
    <x v="183"/>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7"/>
    <x v="7"/>
    <x v="3"/>
    <x v="9"/>
    <x v="184"/>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7"/>
    <x v="7"/>
    <x v="3"/>
    <x v="9"/>
    <x v="185"/>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7"/>
    <x v="7"/>
    <x v="3"/>
    <x v="9"/>
    <x v="186"/>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8"/>
    <x v="8"/>
    <x v="3"/>
    <x v="9"/>
    <x v="187"/>
    <s v="Purpose: _x000a_To assess the material availability for FRP and ensure there are no significant risk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FRP."/>
    <m/>
    <m/>
    <x v="0"/>
  </r>
  <r>
    <x v="8"/>
    <x v="8"/>
    <x v="3"/>
    <x v="9"/>
    <x v="188"/>
    <s v="Purpose: _x000a_To assess the material availability for FRP and ensure there are no significant risk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FRP."/>
    <m/>
    <m/>
    <x v="0"/>
  </r>
  <r>
    <x v="9"/>
    <x v="9"/>
    <x v="3"/>
    <x v="9"/>
    <x v="189"/>
    <s v="Purpose: _x000a_To assess the material availability for FRP and make sure there are no significant risks."/>
    <s v="Additional Considerations: _x000a_• Consider issues associated with shipment and control of COMSEC units (affects shipping times)."/>
    <s v="Lessons Learned: _x000a_• The program manager must continually assess material availability and manage DMSMS issues as the program is in FRP."/>
    <m/>
    <m/>
    <x v="0"/>
  </r>
  <r>
    <x v="2"/>
    <x v="2"/>
    <x v="3"/>
    <x v="10"/>
    <x v="190"/>
    <s v="Purpose: _x000a_To evaluate whether or not there are potential suppliers that are capable of addressing the required technology as well as material solutions of the customer requirements. Since 70 to 80 percent of the cost and risk of any weapon system is in th"/>
    <s v="Additional Considerations: _x000a_• Are there new manufacturing processes needed to produce the design?_x000a_• Have lists been developed to identify new equipment, tooling or test equipment that may be needed to produce the design?_x000a_• Have the make/buy decisions been"/>
    <s v="Lessons Learned: _x000a_• Gain a macro level view of the financial viability of the supply base. Just because a supplier is technically able to perform the work does not mean that they will be around long enough to provide the product if their financial positio"/>
    <m/>
    <m/>
    <x v="0"/>
  </r>
  <r>
    <x v="3"/>
    <x v="3"/>
    <x v="3"/>
    <x v="10"/>
    <x v="191"/>
    <s v="Purpose: _x000a_To do an assessment for potential supply chain sources is in effect a manufacturing feasibility evaluation to determine: (1) Identification of manufacturing technologies and processes needed; (2) Materials/processes needed for producibility; (3)"/>
    <s v="Additional Considerations: _x000a_• Is the prime satisfied that the proposed design can be manufactured, assembled, tested, packaged, and delivered in sufficient quantity, at an acceptable cost to the customer on schedule with the identified potential supply ba"/>
    <s v="Lessons Learned: _x000a_• Open communication between the government, prime contractor and the supply base throughout the program execution is critical to success._x000a_• Review and consider past performance data on supplier capabilities and consider “similar to” sup"/>
    <m/>
    <m/>
    <x v="0"/>
  </r>
  <r>
    <x v="4"/>
    <x v="4"/>
    <x v="3"/>
    <x v="10"/>
    <x v="192"/>
    <s v="Purpose: _x000a_To ensure suppliers can produce prototype components in a production relevant environment. To identify potential supply chain sources and evaluate their capability to support prototype build. To initiate an industrial base capability assessment "/>
    <s v="_x000a_Additional Considerations:_x000a_• Does a formal and effective sub-tier supplier management process exist?_x000a_• Are there preliminary assessments within the supply chain highlighting any concerns relative to tooling and/or testing that may impact prototype build?"/>
    <s v="_x000a_Lessons Learned: _x000a_• One of the important steps for achieving this requirement is to work with the contractor/ supplier on what represents a prototype production for your programs. _x000a_• Understanding the long lead material, equipment, and resource situation"/>
    <m/>
    <m/>
    <x v="0"/>
  </r>
  <r>
    <x v="4"/>
    <x v="4"/>
    <x v="3"/>
    <x v="10"/>
    <x v="193"/>
    <s v="Purpose: _x000a_To ensure suppliers can produce prototype components in a production relevant environment. To identify potential supply chain sources and evaluate their capability to support prototype build. To initiate an industrial base capability assessment "/>
    <s v="_x000a_Additional Considerations:_x000a_• Does a formal and effective sub-tier supplier management process exist?_x000a_• Are there preliminary assessments within the supply chain highlighting any concerns relative to tooling and/or testing that may impact prototype build?"/>
    <s v="_x000a_Lessons Learned: _x000a_• One of the important steps for achieving this requirement is to work with the contractor/ supplier on what represents a prototype production for your programs. _x000a_• Understanding the long lead material, equipment, and resource situation"/>
    <m/>
    <m/>
    <x v="0"/>
  </r>
  <r>
    <x v="5"/>
    <x v="5"/>
    <x v="3"/>
    <x v="10"/>
    <x v="194"/>
    <s v="Purpose : _x000a_To develop: (1) An updated critical supplier list; (2) Life cycle supply chain requirement (i.e. single source/ sole source/ foreign sources, suppliers with long lead items, suppliers with potential DMS issues) and (3) Updated supply chain plan"/>
    <s v="Additional Considerations:_x000a_• Is there capacity at each of the identified suppliers to take on this workload?_x000a_• Is there an understanding and ranking of the most “critical” suppliers, for quality and delivery?_x000a_• Is there a list of supplier capability/capac"/>
    <s v="_x000a__x000a__x000a__x000a_Lessons Learned: _x000a_• Understand why a certain supplier is chosen for a particular part. Ask if there has been similar product produced at that supplier and received by the consuming plant. Ask about the working relationships between the parties._x000a_• Crit"/>
    <m/>
    <m/>
    <x v="0"/>
  </r>
  <r>
    <x v="5"/>
    <x v="5"/>
    <x v="3"/>
    <x v="10"/>
    <x v="195"/>
    <s v="Purpose : _x000a_To develop: (1) An updated critical supplier list; (2) Life cycle supply chain requirement (i.e. single source/ sole source/ foreign sources, suppliers with long lead items, suppliers with potential DMS issues) and (3) Updated supply chain plan"/>
    <s v="Additional Considerations:_x000a_• Is there capacity at each of the identified suppliers to take on this workload?_x000a_• Is there an understanding and ranking of the most “critical” suppliers, for quality and delivery?_x000a_• Is there a list of supplier capability/capac"/>
    <s v="_x000a__x000a__x000a__x000a_Lessons Learned: _x000a_• Understand why a certain supplier is chosen for a particular part. Ask if there has been similar product produced at that supplier and received by the consuming plant. Ask about the working relationships between the parties._x000a_• Crit"/>
    <m/>
    <m/>
    <x v="0"/>
  </r>
  <r>
    <x v="6"/>
    <x v="6"/>
    <x v="3"/>
    <x v="10"/>
    <x v="196"/>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6"/>
    <x v="6"/>
    <x v="3"/>
    <x v="10"/>
    <x v="197"/>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6"/>
    <x v="6"/>
    <x v="3"/>
    <x v="10"/>
    <x v="198"/>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7"/>
    <x v="7"/>
    <x v="3"/>
    <x v="10"/>
    <x v="199"/>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0"/>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1"/>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2"/>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3"/>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4"/>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5"/>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6"/>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7"/>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9"/>
    <x v="9"/>
    <x v="3"/>
    <x v="10"/>
    <x v="204"/>
    <s v="Purpose: _x000a_To demonstrate that the prime contractor has all the required elements of Supply Chain Management in place, and is actively managing the supply chain. Program requirements have been communicated and confirmed and supplier quality and delivery pe"/>
    <s v="Additional Considerations:_x000a_• Are long term agreements in place where practical?_x000a_• Are the Prime's supplier management metrics (including thresholds and goals) in place and being used to manage risk?_x000a_• How does the contractor control their suppliers' suppl"/>
    <s v="Lessons Learned: _x000a_• It is critical to look for objective, not anecdotal, evidence to illustrate supplier compliance. Review the metrics for supplier management and demonstrate progression. _x000a_• Ask to see evidence of sub-tier performance data and the proble"/>
    <m/>
    <m/>
    <x v="0"/>
  </r>
  <r>
    <x v="1"/>
    <x v="1"/>
    <x v="3"/>
    <x v="11"/>
    <x v="208"/>
    <s v="Purpose: _x000a_To develop a basic understanding of what materials will be required for manufacturing and to identify material handling risk to support the analysis of alternatives in the MSA phase._x000a_This product life-cycle level includes a basic identification "/>
    <s v="Additional Considerations: _x000a_• Is there a potential impact due to Environmental Safety and Occupational Health (ESOH) related laws (Clean Air Act, Clean Water Act, Toxic Substances Control Act, National Environmental Policy Act, System Safety, Hazardous Ma"/>
    <s v="Lessons Learned: _x000a_• Special handling and ESOH considerations will impact all programs as they move forward. _x000a_• Multiple laws will impact the program._x000a_• Multiple guides and instructions are available for program use as the program moves forward."/>
    <m/>
    <m/>
    <x v="0"/>
  </r>
  <r>
    <x v="2"/>
    <x v="2"/>
    <x v="3"/>
    <x v="11"/>
    <x v="208"/>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2"/>
    <x v="2"/>
    <x v="3"/>
    <x v="11"/>
    <x v="209"/>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2"/>
    <x v="2"/>
    <x v="3"/>
    <x v="11"/>
    <x v="210"/>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3"/>
    <x v="3"/>
    <x v="3"/>
    <x v="11"/>
    <x v="211"/>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3"/>
    <x v="3"/>
    <x v="3"/>
    <x v="11"/>
    <x v="212"/>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3"/>
    <x v="3"/>
    <x v="3"/>
    <x v="11"/>
    <x v="213"/>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Additional Considerations: _x000a_• Does the program have access to an ESOH professional?_x000a_• Special handling requirements may also include product movement in the factory or shipping between suppliers and the prime due to size and/or weight, c"/>
    <m/>
    <m/>
    <x v="0"/>
  </r>
  <r>
    <x v="3"/>
    <x v="3"/>
    <x v="3"/>
    <x v="11"/>
    <x v="210"/>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4"/>
    <x v="4"/>
    <x v="3"/>
    <x v="11"/>
    <x v="214"/>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4"/>
    <x v="4"/>
    <x v="3"/>
    <x v="11"/>
    <x v="215"/>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4"/>
    <x v="4"/>
    <x v="3"/>
    <x v="11"/>
    <x v="216"/>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5"/>
    <x v="5"/>
    <x v="3"/>
    <x v="11"/>
    <x v="214"/>
    <s v="Purpose: _x000a_To design, fabricate, assemble and integrate at the sub-system level and determine cost, schedule and performance suitability. A secondary goal for this sub-thread is not to have to address ESOH or special handling considerations. The priority a"/>
    <s v="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_x000a_• You are most likely going to be working with HAZMAT. Plan for your"/>
    <m/>
    <m/>
    <x v="0"/>
  </r>
  <r>
    <x v="5"/>
    <x v="5"/>
    <x v="3"/>
    <x v="11"/>
    <x v="217"/>
    <s v="Purpose: _x000a_To design, fabricate, assemble and integrate at the sub-system level and determine cost, schedule and performance suitability. A secondary goal for this sub-thread is not to have to address ESOH or special handling considerations. The priority a"/>
    <s v="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_x000a_• You are most likely going to be working with HAZMAT. Plan for your"/>
    <m/>
    <m/>
    <x v="0"/>
  </r>
  <r>
    <x v="6"/>
    <x v="6"/>
    <x v="3"/>
    <x v="11"/>
    <x v="218"/>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6"/>
    <x v="6"/>
    <x v="3"/>
    <x v="11"/>
    <x v="219"/>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0"/>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1"/>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2"/>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3"/>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8"/>
    <x v="8"/>
    <x v="3"/>
    <x v="11"/>
    <x v="224"/>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8"/>
    <x v="8"/>
    <x v="3"/>
    <x v="11"/>
    <x v="225"/>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8"/>
    <x v="8"/>
    <x v="3"/>
    <x v="11"/>
    <x v="226"/>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9"/>
    <x v="9"/>
    <x v="3"/>
    <x v="11"/>
    <x v="227"/>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Continue to monitor risks and continuously improve."/>
    <m/>
    <m/>
    <x v="0"/>
  </r>
  <r>
    <x v="1"/>
    <x v="1"/>
    <x v="4"/>
    <x v="12"/>
    <x v="228"/>
    <s v="Purpose: _x000a_To begin addressing the need for models to simulate the manufacturing of the projects and to use this information to understand the risk in pursuing this approach. To allow decision makers insight into the risk and start exploring mitigation opt"/>
    <s v="Additional Considerations: _x000a_• None"/>
    <s v="Lessons Learned: _x000a_• Historically we have not adequately addressed manufacturing risk in this phase of technology development, so we must address what models and simulation tools we will use to assess the manufacturing operation earlier in the acquisition "/>
    <m/>
    <m/>
    <x v="0"/>
  </r>
  <r>
    <x v="2"/>
    <x v="2"/>
    <x v="4"/>
    <x v="12"/>
    <x v="229"/>
    <s v="Purpose: _x000a_To begin identifying manufacturing risk for the alternative being considered, and to use this information to understand the manufacturing risk to help manage the transition. To see some high level process charts to support this effort and for ne"/>
    <s v="Additional Considerations: _x000a_• Do process flow charts accurately capture all critical process operations?_x000a_"/>
    <s v="Lessons Learned: _x000a_• Historically we have not adequately addressed manufacturing risk in this phase of technology development, so we must address what models and simulation tools we will use to assess the manufacturing operation. _x000a_• To aid in this assessme"/>
    <m/>
    <m/>
    <x v="0"/>
  </r>
  <r>
    <x v="3"/>
    <x v="3"/>
    <x v="4"/>
    <x v="12"/>
    <x v="230"/>
    <s v="Purpose: _x000a_o understand the modeling/simulation approach that will be used to identify the risk drivers in manufacturing for alternatives being considered, and to use this information to understand the insight in the risk in selecting the best alternative."/>
    <s v="Additional Considerations: _x000a_• Do process flow charts accurately capture all critical process operations?_x000a_"/>
    <s v="Lessons Learned: _x000a_• Historically we have not adequately addressed manufacturing risk in this phase of technology development, so we must start addressing what models and simulation tools we will use to assess the manufacturing operation earlier in the acq"/>
    <m/>
    <m/>
    <x v="0"/>
  </r>
  <r>
    <x v="4"/>
    <x v="4"/>
    <x v="4"/>
    <x v="12"/>
    <x v="231"/>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5"/>
    <x v="5"/>
    <x v="4"/>
    <x v="12"/>
    <x v="232"/>
    <s v="Purpose: _x000a_To obtain more fidelity in the models/simulations at the sub-system or system level by updating previous component models using data from building and testing prototypes in a relevant environment. The program must obtain more realism in assessin"/>
    <s v="Additional Considerations: _x000a_• The models/simulations at this stage should be at the subsystem level and address specific manufacturing areas to identify constraints for each prototype being built (e.g., materials, labor, equipment, tooling/Special Test Eq"/>
    <s v="Lessons Learned: _x000a_• Any simulation models need to incorporate actual build data where available, continually be updated to reflect changes, and be representative of the whole system."/>
    <m/>
    <m/>
    <x v="0"/>
  </r>
  <r>
    <x v="6"/>
    <x v="6"/>
    <x v="4"/>
    <x v="12"/>
    <x v="233"/>
    <s v="Purpose: _x000a_To use demonstrated results from a production representative environment to verify accuracy of models/simulations and use this information to identify risk/constraints and improvement opportunities. The program needs verify the realism of the mo"/>
    <s v="Additional Considerations: _x000a_• The models/simulations at this stage should be at the system level and address specific manufacturing areas to identify constraints for each prototype being built (e.g., materials, labor, equipment, tooling/Special Test Equip"/>
    <s v="Lessons Learned: _x000a_• Continually update models/simulation tools as more data becomes available. _x000a_• Accurate models and simulations will identify constraints and improvement opportunities early and provide time to work the issues that arise before transitio"/>
    <m/>
    <m/>
    <x v="0"/>
  </r>
  <r>
    <x v="7"/>
    <x v="7"/>
    <x v="4"/>
    <x v="12"/>
    <x v="234"/>
    <s v="Purpose: _x000a_To use demonstrated results from a pilot line environment to verify accuracy of models/ simulations and to use this information to identify risks/constraints and improvement opportunities. To assess whether you can meet LRIP requirements. The pr"/>
    <s v="Additional Considerations: _x000a_• Models and simulations are only useful if they reflect actual build data prior to entering LRIP."/>
    <s v="Lessons Learned: _x000a_• Continually update models and simulation tools as more build data becomes available, and use this information to identify risk areas as you transition into production."/>
    <m/>
    <m/>
    <x v="0"/>
  </r>
  <r>
    <x v="7"/>
    <x v="7"/>
    <x v="4"/>
    <x v="12"/>
    <x v="235"/>
    <s v="Purpose: _x000a_To use demonstrated results from a pilot line environment to verify accuracy of models/ simulations and to use this information to identify risks/constraints and improvement opportunities. To assess whether you can meet LRIP requirements. The pr"/>
    <s v="Additional Considerations: _x000a_• Models and simulations are only useful if they reflect actual build data prior to entering LRIP."/>
    <s v="Lessons Learned: _x000a_• Continually update models and simulation tools as more build data becomes available, and use this information to identify risk areas as you transition into production."/>
    <m/>
    <m/>
    <x v="0"/>
  </r>
  <r>
    <x v="8"/>
    <x v="8"/>
    <x v="4"/>
    <x v="12"/>
    <x v="236"/>
    <s v="Purpose: _x000a_To use build data from LRIP to validate models/simulations and to use this information to identify risk/constraints and improvement opportunities. To use these tools to assess if you can meet your FRP program requirements The program must consta"/>
    <s v="Additional Considerations: _x000a_• None"/>
    <s v="Lessons Learned: _x000a_• Continually update models with actual build data and use those tools to assess future risk."/>
    <m/>
    <m/>
    <x v="0"/>
  </r>
  <r>
    <x v="8"/>
    <x v="8"/>
    <x v="4"/>
    <x v="12"/>
    <x v="237"/>
    <s v="Purpose: _x000a_To use build data from LRIP to validate models/simulations and to use this information to identify risk/constraints and improvement opportunities. To use these tools to assess if you can meet your FRP program requirements The program must consta"/>
    <s v="Additional Considerations: _x000a_• None"/>
    <s v="Lessons Learned: _x000a_• Continually update models with actual build data and use those tools to assess future risk."/>
    <m/>
    <m/>
    <x v="0"/>
  </r>
  <r>
    <x v="9"/>
    <x v="9"/>
    <x v="4"/>
    <x v="12"/>
    <x v="238"/>
    <s v="Purpose: _x000a_To use demonstrated results from FRP to verify you can meet FRP program requirements. To use these tools to help manage the FRP efforts. The program build data should support program requirements."/>
    <s v="Additional Considerations: _x000a_• None"/>
    <s v="_x000a_Lessons Learned: _x000a_• Continually update models with actual build data and use those tools to assess future risk."/>
    <m/>
    <m/>
    <x v="0"/>
  </r>
  <r>
    <x v="9"/>
    <x v="9"/>
    <x v="4"/>
    <x v="12"/>
    <x v="239"/>
    <s v="Purpose: _x000a_To use demonstrated results from FRP to verify you can meet FRP program requirements. To use these tools to help manage the FRP efforts. The program build data should support program requirements."/>
    <s v="Additional Considerations: _x000a_• None"/>
    <s v="_x000a_Lessons Learned: _x000a_• Continually update models with actual build data and use those tools to assess future risk."/>
    <m/>
    <m/>
    <x v="0"/>
  </r>
  <r>
    <x v="1"/>
    <x v="1"/>
    <x v="4"/>
    <x v="13"/>
    <x v="240"/>
    <s v="Purpose: _x000a_To begin identifying manufacturing requirements to build the items (e.g., material and/or process approaches), and to use this information to understand risk in pursuing this approach. To allow decision makers insight into risk and start explori"/>
    <s v="Additional Considerations: _x000a_• None"/>
    <s v="Lessons Learned: _x000a_• Historically we have not adequately addressed manufacturing risk in this phase of technology development, so we must address manufacturing risk/issues earlier in the R&amp;D process."/>
    <m/>
    <m/>
    <x v="0"/>
  </r>
  <r>
    <x v="2"/>
    <x v="2"/>
    <x v="4"/>
    <x v="13"/>
    <x v="241"/>
    <s v="Purpose: _x000a_To begin identifying and understanding the capability of critical manufacturing processes of your product through experimentation, and to use this information to understand the risk in pursuing this approach. To allow decision makers insight int"/>
    <s v="Additional Considerations: _x000a_• It is especially critical that the cost goals reflect manufacturing cost considerations and capabilities._x000a_"/>
    <s v="Lessons Learned: _x000a_• Historically we have not adequately addressed manufacturing risk in this phase of technology development, so we must address manufacturing risk/issues earlier in the R&amp;D process."/>
    <m/>
    <m/>
    <x v="0"/>
  </r>
  <r>
    <x v="2"/>
    <x v="2"/>
    <x v="4"/>
    <x v="13"/>
    <x v="242"/>
    <s v="Purpose: _x000a_To begin identifying and understanding the capability of critical manufacturing processes of your product through experimentation, and to use this information to understand the risk in pursuing this approach. To allow decision makers insight int"/>
    <s v="Additional Considerations: _x000a_• It is especially critical that the cost goals reflect manufacturing cost considerations and capabilities._x000a_"/>
    <s v="Lessons Learned: _x000a_• Historically we have not adequately addressed manufacturing risk in this phase of technology development, so we must address manufacturing risk/issues earlier in the R&amp;D process."/>
    <m/>
    <m/>
    <x v="0"/>
  </r>
  <r>
    <x v="3"/>
    <x v="3"/>
    <x v="4"/>
    <x v="13"/>
    <x v="243"/>
    <s v="Purpose: _x000a_To begin assessing the current demonstrated capability of critical manufacturing processes and to understand the issues/risks for supporting the AoA. To use this information to understand the manufacturing risk in selecting the alternatives to p"/>
    <s v="Additional Considerations: _x000a_• What are the critical processes that need attention at this stage of the product life-cycle?"/>
    <s v="Lessons Learned: _x000a_Additional Considerations: _x000a_• What are the critical processes that need attention at this stage of the product life-cycle?"/>
    <m/>
    <m/>
    <x v="0"/>
  </r>
  <r>
    <x v="4"/>
    <x v="4"/>
    <x v="4"/>
    <x v="13"/>
    <x v="244"/>
    <s v="Purpose: _x000a_To obtain more fidelity assessing process capability by using data from building prototypes and similar processes to assess whether target costs are achievable. Data generated from this assessment will be used to make design choices, make/buy de"/>
    <s v="_x000a_Additional Considerations: _x000a_• You should understand risk that each selected alternative presents--especially for critical processes."/>
    <s v="Lessons Learned: _x000a_• The need for realism in the process capability assessment requires using actual hardware build data as soon as possible."/>
    <m/>
    <m/>
    <x v="0"/>
  </r>
  <r>
    <x v="4"/>
    <x v="4"/>
    <x v="4"/>
    <x v="13"/>
    <x v="245"/>
    <s v="Purpose: _x000a_To obtain more fidelity assessing process capability by using data from building prototypes and similar processes to assess whether target costs are achievable. Data generated from this assessment will be used to make design choices, make/buy de"/>
    <s v="_x000a_Additional Considerations: _x000a_• You should understand risk that each selected alternative presents--especially for critical processes."/>
    <s v="Lessons Learned: _x000a_• The need for realism in the process capability assessment requires using actual hardware build data as soon as possible."/>
    <m/>
    <m/>
    <x v="0"/>
  </r>
  <r>
    <x v="5"/>
    <x v="5"/>
    <x v="4"/>
    <x v="13"/>
    <x v="246"/>
    <s v="Purpose: _x000a_To demonstrate process capability in a production relevant environment. To obtain more fidelity in assessing process capability by using data from building prototypes of from similar production processes to determine whether program objectives a"/>
    <s v="Additional Considerations: _x000a_• You should understand risk that each selected alternative presents--especially for critical processes."/>
    <s v="_x000a__x000a_Lessons Learned: _x000a_• The need for realism in the process capability assessment requires using actual hardware build data as soon as possible."/>
    <m/>
    <m/>
    <x v="0"/>
  </r>
  <r>
    <x v="5"/>
    <x v="5"/>
    <x v="4"/>
    <x v="13"/>
    <x v="247"/>
    <s v="Purpose: _x000a_To demonstrate process capability in a production relevant environment. To obtain more fidelity in assessing process capability by using data from building prototypes of from similar production processes to determine whether program objectives a"/>
    <s v="Additional Considerations: _x000a_• You should understand risk that each selected alternative presents--especially for critical processes."/>
    <s v="_x000a__x000a_Lessons Learned: _x000a_• The need for realism in the process capability assessment requires using actual hardware build data as soon as possible."/>
    <m/>
    <m/>
    <x v="0"/>
  </r>
  <r>
    <x v="6"/>
    <x v="6"/>
    <x v="4"/>
    <x v="13"/>
    <x v="248"/>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6"/>
    <x v="6"/>
    <x v="4"/>
    <x v="13"/>
    <x v="249"/>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6"/>
    <x v="6"/>
    <x v="4"/>
    <x v="13"/>
    <x v="250"/>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7"/>
    <x v="7"/>
    <x v="4"/>
    <x v="13"/>
    <x v="251"/>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7"/>
    <x v="7"/>
    <x v="4"/>
    <x v="13"/>
    <x v="252"/>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7"/>
    <x v="7"/>
    <x v="4"/>
    <x v="13"/>
    <x v="253"/>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8"/>
    <x v="8"/>
    <x v="4"/>
    <x v="13"/>
    <x v="254"/>
    <s v="Purpose: _x000a_To use demonstrated results from a LRIP line to verify processes are stable, adequately controlled, and capable. To use build data to analyze the process capability to identify areas for improvement. The program needs to constantly assess the pr"/>
    <s v="Additional Considerations: _x000a_• Taguchi Design of Experiments (DOE) is an effective approach to control process variability."/>
    <s v="Lessons Learned: _x000a_• Continually update process capability assessments as more data becomes available and use this data to determine the likelihood of achieving program objectives."/>
    <m/>
    <m/>
    <x v="0"/>
  </r>
  <r>
    <x v="8"/>
    <x v="8"/>
    <x v="4"/>
    <x v="13"/>
    <x v="255"/>
    <s v="Purpose: _x000a_To use demonstrated results from a LRIP line to verify processes are stable, adequately controlled, and capable. To use build data to analyze the process capability to identify areas for improvement. The program needs to constantly assess the pr"/>
    <s v="Additional Considerations: _x000a_• Taguchi Design of Experiments (DOE) is an effective approach to control process variability."/>
    <s v="Lessons Learned: _x000a_• Continually update process capability assessments as more data becomes available and use this data to determine the likelihood of achieving program objectives."/>
    <m/>
    <m/>
    <x v="0"/>
  </r>
  <r>
    <x v="9"/>
    <x v="9"/>
    <x v="4"/>
    <x v="13"/>
    <x v="256"/>
    <s v="Purpose: _x000a_To demonstrate process capability to meet FRP objectives. The program actual build data must support program objectives."/>
    <s v="Additional Considerations: _x000a_• None"/>
    <s v="Lessons Learned: _x000a_• Continually update process capability assessments as more data becomes available and use this data to determine the likelihood of continually meeting program objectives."/>
    <m/>
    <m/>
    <x v="0"/>
  </r>
  <r>
    <x v="2"/>
    <x v="2"/>
    <x v="4"/>
    <x v="14"/>
    <x v="257"/>
    <s v="Purpose: _x000a_To a get a baseline on the yields and rates demonstrated in R&amp;D. To effectively transition R&amp;D projects one should address the manufacturing maturity of the prototypes being developed. The actual yields achieved on these projects will provide bo"/>
    <s v="Additional Considerations: _x000a_• None"/>
    <s v="Lessons Learned: _x000a_• Historically we have not adequately addressed manufacturing risk in this phase of technology development, so we must address manufacturing maturity and yield issues earlier in the R&amp;D process."/>
    <m/>
    <m/>
    <x v="0"/>
  </r>
  <r>
    <x v="3"/>
    <x v="3"/>
    <x v="4"/>
    <x v="14"/>
    <x v="258"/>
    <s v="Purpose: _x000a_To understand the yields and rates achieved on the R&amp;D project or on similar process used by this contractor to assess the manufacturing risk of proceeding to Milestone A and to reflect that risk in the AoA. The yields and rates that have been d"/>
    <s v="Additional Considerations: _x000a_• None_x000a_"/>
    <s v="Lessons Learned: _x000a_• Historically we have not adequately addressed manufacturing risk in this phase of technology development, so we must address manufacturing risk/issues earlier in the R&amp;D process._x000a_• The yields being demonstrated versus what are required"/>
    <m/>
    <m/>
    <x v="0"/>
  </r>
  <r>
    <x v="3"/>
    <x v="3"/>
    <x v="4"/>
    <x v="14"/>
    <x v="259"/>
    <s v="Purpose: _x000a_To understand the yields and rates achieved on the R&amp;D project or on similar process used by this contractor to assess the manufacturing risk of proceeding to Milestone A and to reflect that risk in the AoA. The yields and rates that have been d"/>
    <s v="Additional Considerations: _x000a_• None_x000a_"/>
    <s v="Lessons Learned: _x000a_• Historically we have not adequately addressed manufacturing risk in this phase of technology development, so we must address manufacturing risk/issues earlier in the R&amp;D process._x000a_• The yields being demonstrated versus what are required"/>
    <m/>
    <m/>
    <x v="0"/>
  </r>
  <r>
    <x v="4"/>
    <x v="4"/>
    <x v="4"/>
    <x v="14"/>
    <x v="260"/>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4"/>
    <x v="4"/>
    <x v="4"/>
    <x v="14"/>
    <x v="261"/>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4"/>
    <x v="4"/>
    <x v="4"/>
    <x v="14"/>
    <x v="262"/>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5"/>
    <x v="5"/>
    <x v="4"/>
    <x v="14"/>
    <x v="263"/>
    <s v="Purpose: _x000a_To assess the yields and rates achieved building prototypes in a production relevant environment, compare them to targets, and determine the manufacturing risk of meeting future requirements. To use this data to make the appropriate mitigation/i"/>
    <s v="Additional Considerations: _x000a_• Exercise caution, because even if you meet yield requirements in pre-EMD, the risk could still be high for production quantities."/>
    <s v="_x000a_Lessons Learned: _x000a_• The yields being demonstrated versus what are required is a best indicator to provide the current maturity and risk of proceeding forward._x000a_• If yields are below 60% on critical processes at this stage, you need to monitor this process"/>
    <m/>
    <m/>
    <x v="0"/>
  </r>
  <r>
    <x v="5"/>
    <x v="5"/>
    <x v="4"/>
    <x v="14"/>
    <x v="264"/>
    <s v="Purpose: _x000a_To assess the yields and rates achieved building prototypes in a production relevant environment, compare them to targets, and determine the manufacturing risk of meeting future requirements. To use this data to make the appropriate mitigation/i"/>
    <s v="Additional Considerations: _x000a_• Exercise caution, because even if you meet yield requirements in pre-EMD, the risk could still be high for production quantities."/>
    <s v="_x000a_Lessons Learned: _x000a_• The yields being demonstrated versus what are required is a best indicator to provide the current maturity and risk of proceeding forward._x000a_• If yields are below 60% on critical processes at this stage, you need to monitor this process"/>
    <m/>
    <m/>
    <x v="0"/>
  </r>
  <r>
    <x v="6"/>
    <x v="6"/>
    <x v="4"/>
    <x v="14"/>
    <x v="265"/>
    <s v="Purpose: _x000a_To use results from a production representative environment to demonstrated that you can achieve pilot line requirements for yields and rates. To use your data for updating your mitigation/improvement plans required to achieve targeted yields an"/>
    <s v="Additional Considerations: _x000a_• Exercise caution, because even if you meet yield requirements in EMD, the risk could still be high for full-rate production quantities."/>
    <s v="Lessons Learned: _x000a_• Continually update yield and rate targets as more data becomes available and use the data to make informed program decisions and process improvements. _x000a_• Not achieving targets by this time will demonstrate the need to closely monitor t"/>
    <m/>
    <m/>
    <x v="0"/>
  </r>
  <r>
    <x v="6"/>
    <x v="6"/>
    <x v="4"/>
    <x v="14"/>
    <x v="266"/>
    <s v="Purpose: _x000a_To use results from a production representative environment to demonstrated that you can achieve pilot line requirements for yields and rates. To use your data for updating your mitigation/improvement plans required to achieve targeted yields an"/>
    <s v="Additional Considerations: _x000a_• Exercise caution, because even if you meet yield requirements in EMD, the risk could still be high for full-rate production quantities."/>
    <s v="Lessons Learned: _x000a_• Continually update yield and rate targets as more data becomes available and use the data to make informed program decisions and process improvements. _x000a_• Not achieving targets by this time will demonstrate the need to closely monitor t"/>
    <m/>
    <m/>
    <x v="0"/>
  </r>
  <r>
    <x v="7"/>
    <x v="7"/>
    <x v="4"/>
    <x v="14"/>
    <x v="267"/>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7"/>
    <x v="7"/>
    <x v="4"/>
    <x v="14"/>
    <x v="268"/>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7"/>
    <x v="7"/>
    <x v="4"/>
    <x v="14"/>
    <x v="269"/>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8"/>
    <x v="8"/>
    <x v="4"/>
    <x v="14"/>
    <x v="270"/>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8"/>
    <x v="8"/>
    <x v="4"/>
    <x v="14"/>
    <x v="271"/>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8"/>
    <x v="8"/>
    <x v="4"/>
    <x v="14"/>
    <x v="272"/>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9"/>
    <x v="9"/>
    <x v="4"/>
    <x v="14"/>
    <x v="273"/>
    <s v="Purpose: _x000a_To verify FRP yield and rate targets have been achieved. The program manager must verify achieving production requirements by using the actual build data. To ensure confidence in our ability to achieve program requirements we should have achieve"/>
    <s v="Additional Considerations: _x000a_• None"/>
    <s v="Lessons Learned: _x000a_• Continually update yield and rate targets as more data becomes available and use the data to make continuous process improvements."/>
    <m/>
    <m/>
    <x v="0"/>
  </r>
  <r>
    <x v="9"/>
    <x v="9"/>
    <x v="4"/>
    <x v="14"/>
    <x v="272"/>
    <s v="Purpose: _x000a_To verify FRP yield and rate targets have been achieved. The program manager must verify achieving production requirements by using the actual build data. To ensure confidence in our ability to achieve program requirements we should have achieve"/>
    <s v="Additional Considerations: _x000a_• None"/>
    <s v="Lessons Learned: _x000a_• Continually update yield and rate targets as more data becomes available and use the data to make continuous process improvements."/>
    <m/>
    <m/>
    <x v="0"/>
  </r>
  <r>
    <x v="3"/>
    <x v="3"/>
    <x v="5"/>
    <x v="15"/>
    <x v="274"/>
    <s v="Purpose: _x000a_To lay the groundwork for ongoing Quality System development concurrent with system design, in parallel with the development of a manufacturing capability for the system. To document potential effects of quality on new products or manufacturing "/>
    <s v="Additional Considerations: _x000a_• Is there a plan to evaluate the quality strategy as part of Analysis of Alternatives (AoA)? _x000a_• What data is available from similar, more mature, systems to assist in quality planning?_x000a_• Are there any lessons learned on qualit"/>
    <s v="Lessons Learned: _x000a_• Developing a Quality Strategy as early as possible in the lifecycle prevents potential misunderstandings about quality requirements. Identifying a need for a strategy addressing quality in specific phases, manufacturing or assembly con"/>
    <m/>
    <m/>
    <x v="0"/>
  </r>
  <r>
    <x v="3"/>
    <x v="3"/>
    <x v="5"/>
    <x v="15"/>
    <x v="275"/>
    <s v="Purpose: _x000a_To lay the groundwork for ongoing Quality System development concurrent with system design, in parallel with the development of a manufacturing capability for the system. To document potential effects of quality on new products or manufacturing "/>
    <s v="Additional Considerations: _x000a_• Is there a plan to evaluate the quality strategy as part of Analysis of Alternatives (AoA)? _x000a_• What data is available from similar, more mature, systems to assist in quality planning?_x000a_• Are there any lessons learned on qualit"/>
    <s v="Lessons Learned: _x000a_• Developing a Quality Strategy as early as possible in the lifecycle prevents potential misunderstandings about quality requirements. Identifying a need for a strategy addressing quality in specific phases, manufacturing or assembly con"/>
    <m/>
    <m/>
    <x v="0"/>
  </r>
  <r>
    <x v="4"/>
    <x v="4"/>
    <x v="5"/>
    <x v="15"/>
    <x v="276"/>
    <s v="Purpose: _x000a_To build on the groundwork already established for an ongoing Quality System development concurrent with the system design in parallel with the development of a manufacturing capability for the system. Consideration should be given to the compat"/>
    <s v="Additional Considerations:_x000a_• Is there a plan to evaluate the quality strategy as part of Analysis of Alternatives (AoA)? _x000a_• What data is available from similar, more mature, systems to assist in quality planning?_x000a_• Are there any lessons learned on quality"/>
    <s v="_x000a__x000a_Lessons Learned: _x000a_• Developing a Quality Strategy as early as possible in the lifecycle prevents potential misunderstandings about quality requirements. Identifying a need for a strategy addressing quality in specific phases, manufacturing or assembly c"/>
    <m/>
    <m/>
    <x v="0"/>
  </r>
  <r>
    <x v="5"/>
    <x v="5"/>
    <x v="5"/>
    <x v="15"/>
    <x v="277"/>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5"/>
    <x v="5"/>
    <x v="5"/>
    <x v="15"/>
    <x v="278"/>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6"/>
    <x v="6"/>
    <x v="5"/>
    <x v="15"/>
    <x v="279"/>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6"/>
    <x v="6"/>
    <x v="5"/>
    <x v="15"/>
    <x v="280"/>
    <s v="Purpose: _x000a_To apply the quality targets/thresholds to pre-production data to evaluate Quality Management System(s) coming out of milestone B and going into design and development reviews during EMD. To continue to develop an ongoing Quality System concurre"/>
    <s v="Additional Considerations:_x000a_• What quality targets are in place, and what is your status in achieving these targets?_x000a_• Does data from similar systems provide confidence in the QMS which will be used on this program?_x000a_• What progress has been made with regar"/>
    <s v="Lessons Learned: _x000a_• Coming out of milestone B, there should be some momentum regarding quality system development highlighted during the previous Manufacturing Readiness Assessment. Schedule regular reviews of progress to maturation plans and plans for qu"/>
    <m/>
    <m/>
    <x v="0"/>
  </r>
  <r>
    <x v="6"/>
    <x v="6"/>
    <x v="5"/>
    <x v="15"/>
    <x v="281"/>
    <s v="Purpose: _x000a_To apply the quality targets/thresholds to pre-production data to evaluate Quality Management System(s) coming out of milestone B and going into design and development reviews during EMD. To continue to develop an ongoing Quality System concurre"/>
    <s v="Additional Considerations:_x000a_• What quality targets are in place, and what is your status in achieving these targets?_x000a_• Does data from similar systems provide confidence in the QMS which will be used on this program?_x000a_• What progress has been made with regar"/>
    <s v="Lessons Learned: _x000a_• Coming out of milestone B, there should be some momentum regarding quality system development highlighted during the previous Manufacturing Readiness Assessment. Schedule regular reviews of progress to maturation plans and plans for qu"/>
    <m/>
    <m/>
    <x v="0"/>
  </r>
  <r>
    <x v="7"/>
    <x v="7"/>
    <x v="5"/>
    <x v="15"/>
    <x v="282"/>
    <s v="Purpose: _x000a_To apply the quality targets/thresholds to pilot line data to evaluate the Quality Management System(s) coming out of milestone B and CDR. Continue to develop an ongoing Quality System concurrent with the system design, and in parallel with the "/>
    <s v="Additional Considerations:_x000a_• What quality targets are in place, and what is your status in achieving these targets?_x000a_• Does quality data from production representative and pilot line units provide confidence in the QMS which will be used on this program?_x000a_•"/>
    <s v="Lessons Learned: _x000a_• Preparing for milestone C, there should be a great deal of program management attention to quality system development and resolution of issues identified during the previous MRA and the CDR. Continue to schedule regular reviews of prog"/>
    <m/>
    <m/>
    <x v="0"/>
  </r>
  <r>
    <x v="7"/>
    <x v="7"/>
    <x v="5"/>
    <x v="15"/>
    <x v="283"/>
    <s v="Purpose: _x000a_To apply the quality targets/thresholds to pilot line data to evaluate the Quality Management System(s) coming out of milestone B and CDR. Continue to develop an ongoing Quality System concurrent with the system design, and in parallel with the "/>
    <s v="Additional Considerations:_x000a_• What quality targets are in place, and what is your status in achieving these targets?_x000a_• Does quality data from production representative and pilot line units provide confidence in the QMS which will be used on this program?_x000a_•"/>
    <s v="Lessons Learned: _x000a_• Preparing for milestone C, there should be a great deal of program management attention to quality system development and resolution of issues identified during the previous MRA and the CDR. Continue to schedule regular reviews of prog"/>
    <m/>
    <m/>
    <x v="0"/>
  </r>
  <r>
    <x v="8"/>
    <x v="8"/>
    <x v="5"/>
    <x v="15"/>
    <x v="284"/>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8"/>
    <x v="8"/>
    <x v="5"/>
    <x v="15"/>
    <x v="285"/>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8"/>
    <x v="8"/>
    <x v="5"/>
    <x v="15"/>
    <x v="286"/>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9"/>
    <x v="9"/>
    <x v="5"/>
    <x v="15"/>
    <x v="287"/>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Lessons Learned: _x000a_• Following the Full Rate Production decision, there is likely to be a tendency to lose focus on continuous improvement. There may also be an experience drain as management is moved onto more high risk programs. Continue to schedule regu"/>
    <m/>
    <m/>
    <x v="0"/>
  </r>
  <r>
    <x v="9"/>
    <x v="9"/>
    <x v="5"/>
    <x v="15"/>
    <x v="285"/>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Lessons Learned: _x000a_• Following the Full Rate Production decision, there is likely to be a tendency to lose focus on continuous improvement. There may also be an experience drain as management is moved onto more high risk programs. Continue to schedule regu"/>
    <m/>
    <m/>
    <x v="0"/>
  </r>
  <r>
    <x v="9"/>
    <x v="9"/>
    <x v="5"/>
    <x v="15"/>
    <x v="288"/>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_x000a__x000a__x000a_Lessons Learned: _x000a_• Following the Full Rate Production decision, there is likely to be a tendency to lose focus on continuous improvement. There may also be an experience drain as management is moved onto more high risk programs. Continue to schedule r"/>
    <m/>
    <m/>
    <x v="0"/>
  </r>
  <r>
    <x v="3"/>
    <x v="3"/>
    <x v="5"/>
    <x v="16"/>
    <x v="289"/>
    <s v="Purpose: _x000a_The role of manufacturing in acquisition is to influence the design (make sure it is producible) and prepare for production. To assess manufacturing feasibility with a focus on product quality beginning with the quality strategy. The early phase"/>
    <s v="Additional Considerations: _x000a_• Does the strategy appropriately reflect the industry sector of the item developed and being produced?_x000a_• Does the strategy appropriately reflect the rates/quantities of items estimated to be produced?_x000a_• Is the strategy a “best"/>
    <s v="Lessons Learned: _x000a_• Product quality must be appropriate for the item(s) being produced. For example, you should not expect to use statistical process control (SPC) on limited production items. Conversely, any product quality strategy that includes signifi"/>
    <m/>
    <m/>
    <x v="0"/>
  </r>
  <r>
    <x v="3"/>
    <x v="3"/>
    <x v="5"/>
    <x v="16"/>
    <x v="290"/>
    <s v="Purpose: _x000a_The role of manufacturing in acquisition is to influence the design (make sure it is producible) and prepare for production. To assess manufacturing feasibility with a focus on product quality beginning with the quality strategy. The early phase"/>
    <s v="Additional Considerations: _x000a_• Does the strategy appropriately reflect the industry sector of the item developed and being produced?_x000a_• Does the strategy appropriately reflect the rates/quantities of items estimated to be produced?_x000a_• Is the strategy a “best"/>
    <s v="Lessons Learned: _x000a_• Product quality must be appropriate for the item(s) being produced. For example, you should not expect to use statistical process control (SPC) on limited production items. Conversely, any product quality strategy that includes signifi"/>
    <m/>
    <m/>
    <x v="0"/>
  </r>
  <r>
    <x v="4"/>
    <x v="4"/>
    <x v="5"/>
    <x v="16"/>
    <x v="291"/>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4"/>
    <x v="4"/>
    <x v="5"/>
    <x v="16"/>
    <x v="292"/>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4"/>
    <x v="4"/>
    <x v="5"/>
    <x v="16"/>
    <x v="293"/>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5"/>
    <x v="5"/>
    <x v="5"/>
    <x v="16"/>
    <x v="294"/>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5"/>
    <x v="5"/>
    <x v="5"/>
    <x v="16"/>
    <x v="295"/>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5"/>
    <x v="5"/>
    <x v="5"/>
    <x v="16"/>
    <x v="296"/>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6"/>
    <x v="6"/>
    <x v="5"/>
    <x v="16"/>
    <x v="297"/>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6"/>
    <x v="6"/>
    <x v="5"/>
    <x v="16"/>
    <x v="298"/>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6"/>
    <x v="6"/>
    <x v="5"/>
    <x v="16"/>
    <x v="299"/>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7"/>
    <x v="7"/>
    <x v="5"/>
    <x v="16"/>
    <x v="300"/>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7"/>
    <x v="7"/>
    <x v="5"/>
    <x v="16"/>
    <x v="301"/>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7"/>
    <x v="7"/>
    <x v="5"/>
    <x v="16"/>
    <x v="302"/>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8"/>
    <x v="8"/>
    <x v="5"/>
    <x v="16"/>
    <x v="303"/>
    <s v="Purpose: _x000a_To provide an adequate and efficient manufacturing capability. To achieve operational capability to satisfy mission needs. This effort should result in completion of manufacturing development to ensure capability to produce the minimum quantity "/>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low-rate initial production environment is different for different products and is often dependent on rates and quantities of items being produced and the complexity of those items. For example, a pilot line environment for a satelli"/>
    <m/>
    <m/>
    <x v="0"/>
  </r>
  <r>
    <x v="9"/>
    <x v="9"/>
    <x v="5"/>
    <x v="16"/>
    <x v="304"/>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9"/>
    <x v="9"/>
    <x v="5"/>
    <x v="16"/>
    <x v="305"/>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9"/>
    <x v="9"/>
    <x v="5"/>
    <x v="16"/>
    <x v="306"/>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3"/>
    <x v="3"/>
    <x v="5"/>
    <x v="17"/>
    <x v="307"/>
    <s v="Purpose: _x000a_To begin assessing the quality capability of potential suppliers and to understand the supplier quality issues/risk in the AoAs. To use this information to understand the risk in selecting the alternatives to proceed with into TD. To use this in"/>
    <s v="Additional Considerations: _x000a_• Do the suppliers’ quality systems appropriately reflect the industry sector of the item developed and being produced?_x000a_• Does the suppliers’ quality strategy appropriately reflect the rates/quantities of items estimated to be "/>
    <s v="Lessons Learned: _x000a_• Supplier product quality must be appropriate for the item(s) being produced. For example, you should not expect to use statistical process control (SPC) on limited production items. Conversely, any product quality strategy that include"/>
    <m/>
    <m/>
    <x v="0"/>
  </r>
  <r>
    <x v="4"/>
    <x v="4"/>
    <x v="5"/>
    <x v="17"/>
    <x v="308"/>
    <s v="Purpose: _x000a_To assess the quality capability of suppliers producing prototype items and identify supplier quality issues/risk. To use this information to quantify the uncertainty/risk of the achieving the program objectives and implement mitigation plans to"/>
    <s v="Additional Considerations: _x000a_• Were the supplier prototype items built and inspected in a production relevant environment?_x000a_• What constitutes a relevant environment for your supplier"/>
    <s v="_x000a_Lessons Learned: _x000a_• A production relevant environment is different for different products and is often dependent on rates and quantities of items being produced and the complexity of those items. Supplier quality systems must be validated to ensure they "/>
    <m/>
    <m/>
    <x v="0"/>
  </r>
  <r>
    <x v="5"/>
    <x v="5"/>
    <x v="5"/>
    <x v="17"/>
    <x v="309"/>
    <s v="Purpose: _x000a_To address supplier quality system issues/concerns building prototype items in a production relevant environment. To use this data to make improvement plans to achieve future requirements. The program needs to understand suppliers’ quality syste"/>
    <s v="Additional Considerations: _x000a_• Have supplier product quality risks been identified?_x000a_• Is the risk management plan for supplier risks acceptable (within the scope of the current contract)?_x000a_• Were supplier prototype systems built and inspected in a productio"/>
    <s v="Lessons Learned: _x000a_• A production relevant environment is different for different products and is often dependent on rates and quantities of items being produced and the complexity of those items. Supplier quality systems must be validated to ensure they a"/>
    <m/>
    <m/>
    <x v="0"/>
  </r>
  <r>
    <x v="6"/>
    <x v="6"/>
    <x v="5"/>
    <x v="17"/>
    <x v="310"/>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6"/>
    <x v="6"/>
    <x v="5"/>
    <x v="17"/>
    <x v="311"/>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6"/>
    <x v="6"/>
    <x v="5"/>
    <x v="17"/>
    <x v="312"/>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7"/>
    <x v="7"/>
    <x v="5"/>
    <x v="17"/>
    <x v="313"/>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Lessons Learned: _x000a_• A pilot line environment is different for different products which is often dependent on rates and quantities of items being produced and the complexity of those items. Supplier quality systems must be validated to ensure they are usin"/>
    <m/>
    <m/>
    <x v="0"/>
  </r>
  <r>
    <x v="7"/>
    <x v="7"/>
    <x v="5"/>
    <x v="17"/>
    <x v="314"/>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7"/>
    <x v="7"/>
    <x v="5"/>
    <x v="17"/>
    <x v="315"/>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Lessons Learned: _x000a_• A pilot line environment is different for different products which is often dependent on rates and quantities of items being produced and the complexity of those items. Supplier quality systems must be validated to ensure they are usin"/>
    <m/>
    <m/>
    <x v="0"/>
  </r>
  <r>
    <x v="7"/>
    <x v="7"/>
    <x v="5"/>
    <x v="17"/>
    <x v="316"/>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7"/>
    <x v="7"/>
    <x v="5"/>
    <x v="17"/>
    <x v="317"/>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8"/>
    <x v="8"/>
    <x v="5"/>
    <x v="17"/>
    <x v="318"/>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8"/>
    <x v="8"/>
    <x v="5"/>
    <x v="17"/>
    <x v="319"/>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8"/>
    <x v="8"/>
    <x v="5"/>
    <x v="17"/>
    <x v="320"/>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9"/>
    <x v="9"/>
    <x v="5"/>
    <x v="17"/>
    <x v="321"/>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9"/>
    <x v="9"/>
    <x v="5"/>
    <x v="17"/>
    <x v="322"/>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9"/>
    <x v="9"/>
    <x v="5"/>
    <x v="17"/>
    <x v="320"/>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2"/>
    <x v="2"/>
    <x v="6"/>
    <x v="18"/>
    <x v="323"/>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2"/>
    <x v="2"/>
    <x v="6"/>
    <x v="18"/>
    <x v="324"/>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2"/>
    <x v="2"/>
    <x v="6"/>
    <x v="18"/>
    <x v="324"/>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3"/>
    <x v="3"/>
    <x v="6"/>
    <x v="18"/>
    <x v="325"/>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3"/>
    <x v="3"/>
    <x v="6"/>
    <x v="18"/>
    <x v="326"/>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3"/>
    <x v="3"/>
    <x v="6"/>
    <x v="18"/>
    <x v="327"/>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4"/>
    <x v="4"/>
    <x v="6"/>
    <x v="18"/>
    <x v="328"/>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4"/>
    <x v="4"/>
    <x v="6"/>
    <x v="18"/>
    <x v="329"/>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4"/>
    <x v="4"/>
    <x v="6"/>
    <x v="18"/>
    <x v="330"/>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5"/>
    <x v="5"/>
    <x v="6"/>
    <x v="18"/>
    <x v="331"/>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5"/>
    <x v="5"/>
    <x v="6"/>
    <x v="18"/>
    <x v="332"/>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5"/>
    <x v="5"/>
    <x v="6"/>
    <x v="18"/>
    <x v="333"/>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6"/>
    <x v="6"/>
    <x v="6"/>
    <x v="18"/>
    <x v="334"/>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5"/>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6"/>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7"/>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7"/>
    <x v="7"/>
    <x v="6"/>
    <x v="18"/>
    <x v="338"/>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39"/>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40"/>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41"/>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8"/>
    <x v="8"/>
    <x v="6"/>
    <x v="18"/>
    <x v="342"/>
    <s v="Purpose: _x000a_To demonstrate that manufacturing processes are under control and that workforce skills are available to achieve requirements (performance, schedule and cost objectives). To assess whether workforce planning has been adequately demonstrated/vali"/>
    <s v="Additional Considerations:_x000a_• Ensure production personnel are properly cross-trained for critical skills to avoid work stoppages in case of absences."/>
    <s v="Lessons Learned: _x000a_• As you transition to FRP, examine union agreements and other contingencies that might impact higher rates."/>
    <m/>
    <m/>
    <x v="0"/>
  </r>
  <r>
    <x v="8"/>
    <x v="8"/>
    <x v="6"/>
    <x v="18"/>
    <x v="343"/>
    <s v="Purpose: _x000a_To demonstrate that manufacturing processes are under control and that workforce skills are available to achieve requirements (performance, schedule and cost objectives). To assess whether workforce planning has been adequately demonstrated/vali"/>
    <s v="Additional Considerations:_x000a_• Ensure production personnel are properly cross-trained for critical skills to avoid work stoppages in case of absences."/>
    <s v="Lessons Learned: _x000a_• As you transition to FRP, examine union agreements and other contingencies that might impact higher rates."/>
    <m/>
    <m/>
    <x v="0"/>
  </r>
  <r>
    <x v="9"/>
    <x v="9"/>
    <x v="6"/>
    <x v="18"/>
    <x v="344"/>
    <s v="Purpose: _x000a_To demonstrate that the manufacturing processes are under control and that workforce skills are available to achieve Full Rate Production requirements (performance, schedule and cost objectives). To assess whether workforce planning has been ade"/>
    <s v="Additional Considerations:_x000a_• Are production workforce skill sets being maintained due to attrition of the workforce? _x000a_• Are workforce personnel available, or can they be trained, to meet surge requirements if necessary?_x000a_• Ensure production personnel are p"/>
    <s v="Lessons Learned: _x000a_• One consideration as you migrate to higher rate production will be to examine union agreements and other contingencies that might impact higher rates._x000a_• Also look at the personnel demographics for key skills."/>
    <m/>
    <m/>
    <x v="0"/>
  </r>
  <r>
    <x v="9"/>
    <x v="9"/>
    <x v="6"/>
    <x v="18"/>
    <x v="345"/>
    <s v="Purpose: _x000a_To demonstrate that the manufacturing processes are under control and that workforce skills are available to achieve Full Rate Production requirements (performance, schedule and cost objectives). To assess whether workforce planning has been ade"/>
    <s v="Additional Considerations:_x000a_• Are production workforce skill sets being maintained due to attrition of the workforce? _x000a_• Are workforce personnel available, or can they be trained, to meet surge requirements if necessary?_x000a_• Ensure production personnel are p"/>
    <s v="Lessons Learned: _x000a_• One consideration as you migrate to higher rate production will be to examine union agreements and other contingencies that might impact higher rates._x000a_• Also look at the personnel demographics for key skills."/>
    <m/>
    <m/>
    <x v="0"/>
  </r>
  <r>
    <x v="3"/>
    <x v="3"/>
    <x v="7"/>
    <x v="19"/>
    <x v="346"/>
    <s v="Purpose: _x000a_To evaluate whether new/unique tooling and test equipment will be required to produce proposed alternatives and to understand overall requirements of tooling and test equipment as it will impact the cost and performance risk. To begin risk plann"/>
    <s v="Additional Considerations: _x000a_• None"/>
    <s v="Lessons Learned: _x000a_• Tooling and test equipment can be major cost and risk drivers and must be addressed in the AoA. If new/unique tooling and test equipment is required, this must be tracked through EMD."/>
    <m/>
    <m/>
    <x v="0"/>
  </r>
  <r>
    <x v="4"/>
    <x v="4"/>
    <x v="7"/>
    <x v="19"/>
    <x v="347"/>
    <s v="Purpose: _x000a_To evaluate whether new/unique tooling and test equipment will be required to produce proposed alternatives and to understand overall requirements of tooling and test equipment as it will impact the cost and performance risk. To continue risk pl"/>
    <s v="Additional Considerations: _x000a_• None"/>
    <s v="Lessons Learned: _x000a_• Tooling and test equipment can be major cost and risk drivers and must be addressed in the AoA. If new/unique tooling and test equipment is required, this must be tracked through EMD."/>
    <m/>
    <m/>
    <x v="0"/>
  </r>
  <r>
    <x v="4"/>
    <x v="4"/>
    <x v="7"/>
    <x v="19"/>
    <x v="348"/>
    <s v="Purpose: _x000a_To evaluate whether new/unique tooling and test equipment will be required to produce proposed alternatives and to understand overall requirements of tooling and test equipment as it will impact the cost and performance risk. To continue risk pl"/>
    <s v="Additional Considerations: _x000a_• None"/>
    <s v="Lessons Learned: _x000a_• Tooling and test equipment can be major cost and risk drivers and must be addressed in the AoA. If new/unique tooling and test equipment is required, this must be tracked through EMD."/>
    <m/>
    <m/>
    <x v="0"/>
  </r>
  <r>
    <x v="5"/>
    <x v="5"/>
    <x v="7"/>
    <x v="19"/>
    <x v="349"/>
    <s v="Purpose: _x000a_To understand what new/unique tooling and test equipment is required for a program by building prototype units in a production relevant environment. To determine the impact this equipment will have on program cost, schedule, and performance. All"/>
    <s v="Additional Considerations: _x000a_• None_x000a_"/>
    <s v="Lessons Learned: _x000a_• Tooling and test equipment can be major cost and risk drivers and must be addressed in the AoA. If new/unique tooling and test equipment are required it must be demonstrated in a production relevant environment. _x000a_• It is very important"/>
    <m/>
    <m/>
    <x v="0"/>
  </r>
  <r>
    <x v="5"/>
    <x v="5"/>
    <x v="7"/>
    <x v="19"/>
    <x v="350"/>
    <s v="Purpose: _x000a_To understand what new/unique tooling and test equipment is required for a program by building prototype units in a production relevant environment. To determine the impact this equipment will have on program cost, schedule, and performance. All"/>
    <s v="Additional Considerations: _x000a_• None_x000a_"/>
    <s v="Lessons Learned: _x000a_• Tooling and test equipment can be major cost and risk drivers and must be addressed in the AoA. If new/unique tooling and test equipment are required it must be demonstrated in a production relevant environment. _x000a_• It is very important"/>
    <m/>
    <m/>
    <x v="0"/>
  </r>
  <r>
    <x v="6"/>
    <x v="6"/>
    <x v="7"/>
    <x v="19"/>
    <x v="351"/>
    <s v="Purpose: _x000a_To demonstrate the production tooling and test equipment by building early EMD units in a production representative environment. To ensure that production tooling and test equipment design and development is progressing so it can be used on the "/>
    <s v="Additional Considerations: _x000a_• Is there a documented record of calibration and certification of STE/SIE?_x000a_"/>
    <s v="Lessons Learned: _x000a_• The monitoring of the design, development and use of the tooling and test equipment needs to be accomplished because this equipment can be major cost and risk drivers. _x000a_• Making sure the contractor has a maintenance strategy is importa"/>
    <m/>
    <m/>
    <x v="0"/>
  </r>
  <r>
    <x v="6"/>
    <x v="6"/>
    <x v="7"/>
    <x v="19"/>
    <x v="352"/>
    <s v="Purpose: _x000a_To demonstrate the production tooling and test equipment by building early EMD units in a production representative environment. To ensure that production tooling and test equipment design and development is progressing so it can be used on the "/>
    <s v="Additional Considerations: _x000a_• Is there a documented record of calibration and certification of STE/SIE?_x000a_"/>
    <s v="Lessons Learned: _x000a_• The monitoring of the design, development and use of the tooling and test equipment needs to be accomplished because this equipment can be major cost and risk drivers. _x000a_• Making sure the contractor has a maintenance strategy is importa"/>
    <m/>
    <m/>
    <x v="0"/>
  </r>
  <r>
    <x v="7"/>
    <x v="7"/>
    <x v="7"/>
    <x v="19"/>
    <x v="353"/>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7"/>
    <x v="7"/>
    <x v="7"/>
    <x v="19"/>
    <x v="354"/>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7"/>
    <x v="7"/>
    <x v="7"/>
    <x v="19"/>
    <x v="355"/>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8"/>
    <x v="8"/>
    <x v="7"/>
    <x v="19"/>
    <x v="356"/>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8"/>
    <x v="8"/>
    <x v="7"/>
    <x v="19"/>
    <x v="357"/>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8"/>
    <x v="8"/>
    <x v="7"/>
    <x v="19"/>
    <x v="358"/>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9"/>
    <x v="9"/>
    <x v="7"/>
    <x v="19"/>
    <x v="359"/>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9"/>
    <x v="9"/>
    <x v="7"/>
    <x v="19"/>
    <x v="360"/>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7"/>
    <x v="7"/>
    <x v="19"/>
    <x v="361"/>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10"/>
    <x v="8"/>
    <x v="7"/>
    <x v="19"/>
    <x v="362"/>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8"/>
    <x v="7"/>
    <x v="19"/>
    <x v="363"/>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9"/>
    <x v="7"/>
    <x v="19"/>
    <x v="362"/>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9"/>
    <x v="7"/>
    <x v="19"/>
    <x v="363"/>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2"/>
    <x v="2"/>
    <x v="7"/>
    <x v="20"/>
    <x v="364"/>
    <s v="Purpose: _x000a_To evaluate whether new/specialized facilities will be required to produce proposed alternatives. To use this information to understand cost and performance risk of selecting the best alternative and to begin risk planning to address identified "/>
    <s v="Additional Considerations: _x000a_• None"/>
    <s v="Lessons Learned: _x000a_• None"/>
    <m/>
    <m/>
    <x v="0"/>
  </r>
  <r>
    <x v="3"/>
    <x v="3"/>
    <x v="7"/>
    <x v="20"/>
    <x v="365"/>
    <s v="Purpose: _x000a_To identify facilities that will be required to produce proposed alternatives and to identify the facility requirements needed to produce pilot line items in EMD. To use this information to understand cost and performance risk in selecting the b"/>
    <s v="Additional Considerations: _x000a_• Is available capital sufficient for required facilities, test equipment and tooling?"/>
    <s v="Lessons Learned: _x000a_• Due to cost and schedule risk in this area, focus on both near term facility needs to produce prototypes and long term needs for production units. The facilities used to produce the prototype units are sometimes different from those us"/>
    <m/>
    <m/>
    <x v="0"/>
  </r>
  <r>
    <x v="4"/>
    <x v="4"/>
    <x v="7"/>
    <x v="20"/>
    <x v="366"/>
    <s v="Purpose: _x000a_To evaluate the availability of the manufacturing facilities that will be required to produce the alternatives being considered. To use this information to understand the performance risk in selecting the best alternative and to begin risk plann"/>
    <s v="Additional Considerations: _x000a_• Have sufficient funds been budgeted for required facilities, test equipment and tooling?_x000a_• It is very important to begin discussions in this phase to identify what is a production relevant environment for facilities."/>
    <s v="Lessons Learned: _x000a_• The facilities used for the prototype must be assessed from both the perspective of producing prototypes and how they will simulate a production relevant environment. _x000a_• In the past is that we did not adequately understand the risk of "/>
    <m/>
    <m/>
    <x v="0"/>
  </r>
  <r>
    <x v="4"/>
    <x v="4"/>
    <x v="7"/>
    <x v="20"/>
    <x v="367"/>
    <s v="Purpose: _x000a_To evaluate the availability of the manufacturing facilities that will be required to produce the alternatives being considered. To use this information to understand the performance risk in selecting the best alternative and to begin risk plann"/>
    <s v="Additional Considerations: _x000a_• Have sufficient funds been budgeted for required facilities, test equipment and tooling?_x000a_• It is very important to begin discussions in this phase to identify what is a production relevant environment for facilities."/>
    <s v="Lessons Learned: _x000a_• The facilities used for the prototype must be assessed from both the perspective of producing prototypes and how they will simulate a production relevant environment. _x000a_• In the past is that we did not adequately understand the risk of "/>
    <m/>
    <m/>
    <x v="0"/>
  </r>
  <r>
    <x v="5"/>
    <x v="5"/>
    <x v="7"/>
    <x v="20"/>
    <x v="368"/>
    <s v="Purpose: _x000a_To understand the planning needed for the right facilities to demonstrate pilot line production. This information is needed to determine risk of proceeding into EMD. Due to the typical lead time and cost associated with facilities, it is importa"/>
    <s v="Additional Considerations: _x000a_• Has the budget been approved for required facilities, test equipment and tooling?"/>
    <s v="Lessons Learned: _x000a_• In the past we have not adequately assessed facility requirements for demonstrating production early enough in the acquisition process. This has resulted in extending the EMD phase and/or adding significant risk as we transition into p"/>
    <m/>
    <m/>
    <x v="0"/>
  </r>
  <r>
    <x v="5"/>
    <x v="5"/>
    <x v="7"/>
    <x v="20"/>
    <x v="369"/>
    <s v="Purpose: _x000a_To understand the planning needed for the right facilities to demonstrate pilot line production. This information is needed to determine risk of proceeding into EMD. Due to the typical lead time and cost associated with facilities, it is importa"/>
    <s v="Additional Considerations: _x000a_• Has the budget been approved for required facilities, test equipment and tooling?"/>
    <s v="Lessons Learned: _x000a_• In the past we have not adequately assessed facility requirements for demonstrating production early enough in the acquisition process. This has resulted in extending the EMD phase and/or adding significant risk as we transition into p"/>
    <m/>
    <m/>
    <x v="0"/>
  </r>
  <r>
    <x v="6"/>
    <x v="6"/>
    <x v="7"/>
    <x v="20"/>
    <x v="370"/>
    <s v="Purpose: _x000a_To demonstrate facilities are adequate by building the early EMD units in a production representative environment. To ensure the Low Rate Initial Production (LRIP) facility planning effort is progressing satisfactorily to support LRIP requiremen"/>
    <s v="Additional Considerations: _x000a_• Have funds been programmed or expended for necessary facilities, equipment and tooling?"/>
    <s v="Lessons Learned: _x000a_• Facilities can be a major cost and schedule driver, so they need to be addressed in assessment of manufacturing capability. The monitoring of the facilities planning and progress needed to support the LRIP requirements must be a focus "/>
    <m/>
    <m/>
    <x v="0"/>
  </r>
  <r>
    <x v="6"/>
    <x v="6"/>
    <x v="7"/>
    <x v="20"/>
    <x v="371"/>
    <s v="Purpose: _x000a_To demonstrate facilities are adequate by building the early EMD units in a production representative environment. To ensure the Low Rate Initial Production (LRIP) facility planning effort is progressing satisfactorily to support LRIP requiremen"/>
    <s v="Additional Considerations: _x000a_• Have funds been programmed or expended for necessary facilities, equipment and tooling?"/>
    <s v="Lessons Learned: _x000a_• Facilities can be a major cost and schedule driver, so they need to be addressed in assessment of manufacturing capability. The monitoring of the facilities planning and progress needed to support the LRIP requirements must be a focus "/>
    <m/>
    <m/>
    <x v="0"/>
  </r>
  <r>
    <x v="7"/>
    <x v="7"/>
    <x v="7"/>
    <x v="20"/>
    <x v="372"/>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3"/>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4"/>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5"/>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8"/>
    <x v="8"/>
    <x v="7"/>
    <x v="20"/>
    <x v="376"/>
    <s v="Purpose: _x000a_To demonstrate there is no significant manufacturing risk prior to proceeding into FRP. The capability and capacity of your facilities are an essential element in making that determination."/>
    <s v="Additional Considerations: _x000a_• None"/>
    <s v="Lessons Learned: _x000a_• The capability and capacity of the facilities can be major cost and risk drivers and must be assessed if you wish to demonstrate that there is no significant manufacturing risk for Full Rate Production. You must examine the major eleme"/>
    <m/>
    <m/>
    <x v="0"/>
  </r>
  <r>
    <x v="8"/>
    <x v="8"/>
    <x v="7"/>
    <x v="20"/>
    <x v="377"/>
    <s v="Purpose: _x000a_To demonstrate there is no significant manufacturing risk prior to proceeding into FRP. The capability and capacity of your facilities are an essential element in making that determination."/>
    <s v="Additional Considerations: _x000a_• None"/>
    <s v="Lessons Learned: _x000a_• The capability and capacity of the facilities can be major cost and risk drivers and must be assessed if you wish to demonstrate that there is no significant manufacturing risk for Full Rate Production. You must examine the major eleme"/>
    <m/>
    <m/>
    <x v="0"/>
  </r>
  <r>
    <x v="9"/>
    <x v="9"/>
    <x v="7"/>
    <x v="20"/>
    <x v="378"/>
    <s v="Purpose: _x000a_To demonstrate control of the manufacturing process and the facilities used for FRP. The capability and capacity of your facilities, as it relates to your program requirements, are an essential element in making that determination."/>
    <s v="Additional Considerations: _x000a_• Is sufficient facility capacity available, or can it be obtained, to meet surge requirements, if necessary?"/>
    <s v="Lessons Learned: _x000a_• The capability and capacity of the facilities can be major cost and risk drivers and need to be addressed when you are demonstrating that that manufacturing process are under control for Full Rate Production. You need to look at key el"/>
    <m/>
    <m/>
    <x v="0"/>
  </r>
  <r>
    <x v="9"/>
    <x v="9"/>
    <x v="7"/>
    <x v="20"/>
    <x v="379"/>
    <s v="Purpose: _x000a_To demonstrate control of the manufacturing process and the facilities used for FRP. The capability and capacity of your facilities, as it relates to your program requirements, are an essential element in making that determination."/>
    <s v="Additional Considerations: _x000a_• Is sufficient facility capacity available, or can it be obtained, to meet surge requirements, if necessary?"/>
    <s v="Lessons Learned: _x000a_• The capability and capacity of the facilities can be major cost and risk drivers and need to be addressed when you are demonstrating that that manufacturing process are under control for Full Rate Production. You need to look at key el"/>
    <m/>
    <m/>
    <x v="0"/>
  </r>
  <r>
    <x v="3"/>
    <x v="3"/>
    <x v="8"/>
    <x v="21"/>
    <x v="380"/>
    <s v="Purpose: _x000a_To ensure there is a well-documented roadmap to achieve manufacturing maturity. DOD case studies and GAO reports have demonstrated that the failure to adequately manage manufacturing risk early in a program’s life cycle is a root cause of cost a"/>
    <s v="Additional Considerations: _x000a_• Has a make-or-buy plan been developed for critical items at this stag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3"/>
    <x v="3"/>
    <x v="8"/>
    <x v="21"/>
    <x v="381"/>
    <s v="Purpose: _x000a_To ensure there is a well-documented roadmap to achieve manufacturing maturity. DOD case studies and GAO reports have demonstrated that the failure to adequately manage manufacturing risk early in a program’s life cycle is a root cause of cost a"/>
    <s v="Additional Considerations: _x000a_• Has a make-or-buy plan been developed for critical items at this stag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4"/>
    <x v="4"/>
    <x v="8"/>
    <x v="21"/>
    <x v="382"/>
    <s v="Purpose: _x000a_To ensure there is a well-documented roadmap to achieve manufacturing maturity. To identify and assess the manufacturing risk of the alternatives being considered and to begin maturing manufacturing processes to reduce risk. One of the major act"/>
    <s v="Additional Considerations:_x000a_• A make-or-buy plan should have been developed for critical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4"/>
    <x v="4"/>
    <x v="8"/>
    <x v="21"/>
    <x v="383"/>
    <s v="Purpose: _x000a_To ensure there is a well-documented roadmap to achieve manufacturing maturity. To identify and assess the manufacturing risk of the alternatives being considered and to begin maturing manufacturing processes to reduce risk. One of the major act"/>
    <s v="Additional Considerations:_x000a_• A make-or-buy plan should have been developed for critical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4"/>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5"/>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6"/>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6"/>
    <x v="6"/>
    <x v="8"/>
    <x v="21"/>
    <x v="387"/>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88"/>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89"/>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90"/>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91"/>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7"/>
    <x v="7"/>
    <x v="8"/>
    <x v="21"/>
    <x v="392"/>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3"/>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4"/>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5"/>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6"/>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7"/>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8"/>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9"/>
    <x v="9"/>
    <x v="8"/>
    <x v="21"/>
    <x v="399"/>
    <s v="Purpose: _x000a_To ensure that all manufacturing planning and scheduling activities have been demonstrated in a high rate production environment, and are sufficient for continued cost-effective production at high rates."/>
    <s v="Additional Considerations:_x000a_• Has manufacturing planning been made for surge and/or other contingency production?"/>
    <s v="Lessons Learned:_x000a_• Increasing the production rate capability to FRP requirements effects many aspects of the manufacturing operations. Proactive planning is critical to ensure that efficient and economical production at these higher rates can be achieved."/>
    <m/>
    <m/>
    <x v="0"/>
  </r>
  <r>
    <x v="3"/>
    <x v="3"/>
    <x v="8"/>
    <x v="22"/>
    <x v="400"/>
    <s v="Purpose: _x000a_To ensure risks associated with material selection are being addressed. DOD case studies and GAO reports have demonstrated that the failure to adequately manage manufacturing risk early in a program’s life cycle is a root cause of cost and sched"/>
    <s v="Additional Considerations: _x000a_• Non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4"/>
    <x v="4"/>
    <x v="8"/>
    <x v="22"/>
    <x v="401"/>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4"/>
    <x v="4"/>
    <x v="8"/>
    <x v="22"/>
    <x v="402"/>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4"/>
    <x v="4"/>
    <x v="8"/>
    <x v="22"/>
    <x v="403"/>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5"/>
    <x v="5"/>
    <x v="8"/>
    <x v="22"/>
    <x v="404"/>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5"/>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6"/>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7"/>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6"/>
    <x v="6"/>
    <x v="8"/>
    <x v="22"/>
    <x v="408"/>
    <s v="Purpose: _x000a_To build qualification test hardware on a Pilot Line using materials planned for LRIP. The material resource planning system should be validated on the Pilot Line build. MRLs play a vital role in ensuring that manufacturing processes have been e"/>
    <s v="Additional Considerations: _x000a_• What parts do we need to make or buy (Purchasing Plan)? _x000a_• How many of these parts do we need (Capacity Plan)? _x000a_• When must these parts be available (Detailed Manufacturing Schedule)? _x000a_• Have you checked GIDEP alerts for obso"/>
    <s v="Lessons Learned:_x000a_• The more complex the manufacturing operation the more complex the MRP. MRP systems generate two basic outputs, the Purchasing Plan and Schedule that lays out when the purchase orders (POs) should be released and when the purchased items"/>
    <m/>
    <m/>
    <x v="0"/>
  </r>
  <r>
    <x v="6"/>
    <x v="6"/>
    <x v="8"/>
    <x v="22"/>
    <x v="409"/>
    <s v="Purpose: _x000a_To build qualification test hardware on a Pilot Line using materials planned for LRIP. The material resource planning system should be validated on the Pilot Line build. MRLs play a vital role in ensuring that manufacturing processes have been e"/>
    <s v="Additional Considerations: _x000a_• What parts do we need to make or buy (Purchasing Plan)? _x000a_• How many of these parts do we need (Capacity Plan)? _x000a_• When must these parts be available (Detailed Manufacturing Schedule)? _x000a_• Have you checked GIDEP alerts for obso"/>
    <s v="Lessons Learned:_x000a_• The more complex the manufacturing operation the more complex the MRP. MRP systems generate two basic outputs, the Purchasing Plan and Schedule that lays out when the purchase orders (POs) should be released and when the purchased items"/>
    <m/>
    <m/>
    <x v="0"/>
  </r>
  <r>
    <x v="7"/>
    <x v="7"/>
    <x v="8"/>
    <x v="22"/>
    <x v="410"/>
    <s v="Purpose: _x000a_To ensure that materials planning has been properly developed to allow for duplicating a product configuration in a cost-effective manner, and that any risks to achieving this goal have been identified and addressed. MRLs play a vital role in en"/>
    <s v="Additional Considerations: _x000a_• What parts do we need to make or buy (Purchasing Plan)? _x000a_• How many of these parts do we need (Capacity Plan)? _x000a_• When must these parts be available (Detailed Manufacturing Schedule)? _x000a_• Have you continued to check GIDEP aler"/>
    <s v="Lessons Learned:_x000a_• The Make/Buy decisions and BOM should be complete. Changes to these at this phase in the acquisition cycle could introduce manufacturing risks. Stable decisions also assist in forecasting, impact analysis, component analysis, and other "/>
    <m/>
    <m/>
    <x v="0"/>
  </r>
  <r>
    <x v="7"/>
    <x v="7"/>
    <x v="8"/>
    <x v="22"/>
    <x v="411"/>
    <s v="Purpose: _x000a_To ensure that materials planning has been properly developed to allow for duplicating a product configuration in a cost-effective manner, and that any risks to achieving this goal have been identified and addressed. MRLs play a vital role in en"/>
    <s v="Additional Considerations: _x000a_• What parts do we need to make or buy (Purchasing Plan)? _x000a_• How many of these parts do we need (Capacity Plan)? _x000a_• When must these parts be available (Detailed Manufacturing Schedule)? _x000a_• Have you continued to check GIDEP aler"/>
    <s v="Lessons Learned:_x000a_• The Make/Buy decisions and BOM should be complete. Changes to these at this phase in the acquisition cycle could introduce manufacturing risks. Stable decisions also assist in forecasting, impact analysis, component analysis, and other "/>
    <m/>
    <m/>
    <x v="0"/>
  </r>
  <r>
    <x v="8"/>
    <x v="8"/>
    <x v="8"/>
    <x v="22"/>
    <x v="412"/>
    <s v="Purpose: _x000a_To ensure that an adequate manufacturing approach has been demonstrated in a low rate production environment and that adequate planning is available for cost-effective production at high rates."/>
    <s v="_x000a_Additional Considerations: _x000a_• What parts do we need to make or buy (Purchasing Plan)? _x000a_• How many of these parts do we need (Capacity Plan)? _x000a_• When must these parts be available (Detailed Manufacturing Schedule)?_x000a_• Have you continued to check GIDEP aler"/>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2"/>
    <x v="413"/>
    <s v="Purpose: _x000a_To ensure that an adequate manufacturing approach has been demonstrated in a low rate production environment and that adequate planning is available for cost-effective production at high rates."/>
    <s v="_x000a_Additional Considerations: _x000a_• What parts do we need to make or buy (Purchasing Plan)? _x000a_• How many of these parts do we need (Capacity Plan)? _x000a_• When must these parts be available (Detailed Manufacturing Schedule)?_x000a_• Have you continued to check GIDEP aler"/>
    <s v="Lessons Learned:_x000a_• Increasing the production rate capability to FRP requirements effects many aspects of the manufacturing operations. Proactive planning is critical to ensure that efficient and economical production at these higher rates can be achieved."/>
    <m/>
    <m/>
    <x v="0"/>
  </r>
  <r>
    <x v="9"/>
    <x v="9"/>
    <x v="8"/>
    <x v="22"/>
    <x v="414"/>
    <s v="Purpose: _x000a_To ensure that the material selections are complete and stable, and that an adequate materials planning system is in place and proven to allow for continued cost-effective production at high rates."/>
    <s v="Additional Considerations:_x000a_• Have you continued to check GIDEP alerts for obsolete or DMSMS materials?"/>
    <s v="Lessons Learned:_x000a_• It is important for engineers and program managers to be aware of GIDEP alerts that will inform them of parts and materials that are either obsolete or about to become obsolete. If no other options are available, a life-time buy of thos"/>
    <m/>
    <m/>
    <x v="0"/>
  </r>
  <r>
    <x v="10"/>
    <x v="10"/>
    <x v="9"/>
    <x v="23"/>
    <x v="415"/>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0" applyNumberFormats="0" applyBorderFormats="0" applyFontFormats="0" applyPatternFormats="0" applyAlignmentFormats="0" applyWidthHeightFormats="1" dataCaption="Values" updatedVersion="6" minRefreshableVersion="3" rowGrandTotals="0" colGrandTotals="0" itemPrintTitles="1" createdVersion="1" indent="0" outline="1" outlineData="1" multipleFieldFilters="0" rowHeaderCaption="Thread _x000a_*(Select the threads you would like to display by clicking the down arrow in this cell A6)">
  <location ref="A7:D442" firstHeaderRow="1" firstDataRow="1" firstDataCol="4" rowPageCount="1" colPageCount="1"/>
  <pivotFields count="11">
    <pivotField name="MRL FILTER *(Select the MRL Levels you would like to display by clicking the down arrow in the cell B4) " axis="axisPage" showAll="0" defaultSubtotal="0">
      <items count="11">
        <item x="0"/>
        <item x="1"/>
        <item x="2"/>
        <item x="3"/>
        <item x="4"/>
        <item x="5"/>
        <item x="6"/>
        <item x="7"/>
        <item x="8"/>
        <item x="9"/>
        <item x="10"/>
      </items>
    </pivotField>
    <pivotField axis="axisRow" outline="0" showAll="0" defaultSubtotal="0">
      <items count="11">
        <item x="0"/>
        <item x="1"/>
        <item x="2"/>
        <item x="3"/>
        <item x="4"/>
        <item x="5"/>
        <item x="6"/>
        <item x="7"/>
        <item x="8"/>
        <item x="9"/>
        <item x="10"/>
      </items>
    </pivotField>
    <pivotField axis="axisRow" subtotalTop="0" showAll="0" defaultSubtotal="0">
      <items count="10">
        <item x="0"/>
        <item x="1"/>
        <item x="2"/>
        <item x="3"/>
        <item x="4"/>
        <item x="5"/>
        <item x="6"/>
        <item x="7"/>
        <item x="8"/>
        <item n=" " x="9"/>
      </items>
    </pivotField>
    <pivotField axis="axisRow" outline="0" subtotalTop="0" showAll="0" sortType="ascending" defaultSubtotal="0">
      <items count="24">
        <item n=" " h="1" x="23"/>
        <item x="0"/>
        <item x="1"/>
        <item x="2"/>
        <item x="3"/>
        <item x="4"/>
        <item x="5"/>
        <item x="6"/>
        <item x="7"/>
        <item x="8"/>
        <item x="9"/>
        <item x="10"/>
        <item x="11"/>
        <item x="12"/>
        <item x="13"/>
        <item x="14"/>
        <item x="15"/>
        <item x="16"/>
        <item x="17"/>
        <item x="18"/>
        <item x="19"/>
        <item x="20"/>
        <item x="21"/>
        <item x="22"/>
      </items>
    </pivotField>
    <pivotField axis="axisRow" outline="0" subtotalTop="0" showAll="0" defaultSubtotal="0">
      <items count="416">
        <item x="122"/>
        <item x="114"/>
        <item x="339"/>
        <item x="335"/>
        <item x="340"/>
        <item x="336"/>
        <item x="72"/>
        <item x="95"/>
        <item x="93"/>
        <item x="60"/>
        <item x="24"/>
        <item x="140"/>
        <item x="142"/>
        <item x="145"/>
        <item x="147"/>
        <item x="150"/>
        <item x="152"/>
        <item x="189"/>
        <item x="385"/>
        <item x="188"/>
        <item x="377"/>
        <item x="298"/>
        <item x="106"/>
        <item x="123"/>
        <item x="125"/>
        <item x="115"/>
        <item x="117"/>
        <item x="116"/>
        <item x="101"/>
        <item x="70"/>
        <item x="42"/>
        <item x="300"/>
        <item x="205"/>
        <item x="71"/>
        <item x="373"/>
        <item x="53"/>
        <item x="40"/>
        <item x="185"/>
        <item x="409"/>
        <item x="166"/>
        <item x="159"/>
        <item x="183"/>
        <item x="404"/>
        <item x="374"/>
        <item x="307"/>
        <item x="207"/>
        <item x="161"/>
        <item x="59"/>
        <item x="66"/>
        <item x="351"/>
        <item x="345"/>
        <item x="264"/>
        <item x="266"/>
        <item x="288"/>
        <item x="320"/>
        <item x="313"/>
        <item x="195"/>
        <item x="69"/>
        <item x="299"/>
        <item x="302"/>
        <item x="133"/>
        <item x="127"/>
        <item x="129"/>
        <item x="88"/>
        <item x="89"/>
        <item x="412"/>
        <item x="408"/>
        <item x="410"/>
        <item x="256"/>
        <item x="254"/>
        <item x="331"/>
        <item x="168"/>
        <item x="21"/>
        <item x="33"/>
        <item x="35"/>
        <item x="16"/>
        <item x="50"/>
        <item x="37"/>
        <item x="206"/>
        <item x="51"/>
        <item x="81"/>
        <item x="77"/>
        <item x="153"/>
        <item x="378"/>
        <item x="43"/>
        <item x="44"/>
        <item x="346"/>
        <item x="269"/>
        <item x="272"/>
        <item x="263"/>
        <item x="265"/>
        <item x="223"/>
        <item x="73"/>
        <item x="310"/>
        <item x="46"/>
        <item x="103"/>
        <item x="280"/>
        <item x="305"/>
        <item x="306"/>
        <item x="403"/>
        <item x="135"/>
        <item x="136"/>
        <item x="67"/>
        <item x="319"/>
        <item x="252"/>
        <item x="303"/>
        <item x="126"/>
        <item x="322"/>
        <item x="318"/>
        <item x="321"/>
        <item x="139"/>
        <item x="144"/>
        <item x="149"/>
        <item x="87"/>
        <item x="27"/>
        <item x="301"/>
        <item x="151"/>
        <item x="143"/>
        <item x="148"/>
        <item x="138"/>
        <item x="141"/>
        <item x="146"/>
        <item x="98"/>
        <item x="294"/>
        <item x="211"/>
        <item x="358"/>
        <item x="352"/>
        <item x="380"/>
        <item x="198"/>
        <item x="343"/>
        <item x="360"/>
        <item x="289"/>
        <item x="290"/>
        <item x="274"/>
        <item x="112"/>
        <item x="312"/>
        <item x="243"/>
        <item x="191"/>
        <item x="76"/>
        <item x="259"/>
        <item x="258"/>
        <item x="82"/>
        <item x="86"/>
        <item x="357"/>
        <item x="200"/>
        <item x="14"/>
        <item x="190"/>
        <item x="208"/>
        <item x="249"/>
        <item x="247"/>
        <item x="102"/>
        <item x="355"/>
        <item x="388"/>
        <item x="170"/>
        <item x="176"/>
        <item x="13"/>
        <item x="244"/>
        <item x="78"/>
        <item x="297"/>
        <item x="202"/>
        <item x="311"/>
        <item x="365"/>
        <item x="327"/>
        <item x="407"/>
        <item x="379"/>
        <item x="96"/>
        <item x="109"/>
        <item x="108"/>
        <item x="11"/>
        <item x="22"/>
        <item x="28"/>
        <item x="19"/>
        <item x="384"/>
        <item x="387"/>
        <item x="396"/>
        <item x="392"/>
        <item x="386"/>
        <item x="382"/>
        <item x="160"/>
        <item x="413"/>
        <item x="17"/>
        <item x="337"/>
        <item x="203"/>
        <item x="276"/>
        <item x="90"/>
        <item x="400"/>
        <item x="130"/>
        <item x="79"/>
        <item x="393"/>
        <item x="399"/>
        <item x="397"/>
        <item x="158"/>
        <item x="169"/>
        <item x="167"/>
        <item x="215"/>
        <item x="354"/>
        <item x="356"/>
        <item x="353"/>
        <item x="62"/>
        <item x="296"/>
        <item x="63"/>
        <item x="180"/>
        <item x="111"/>
        <item x="105"/>
        <item x="107"/>
        <item x="119"/>
        <item x="118"/>
        <item x="242"/>
        <item x="58"/>
        <item x="131"/>
        <item x="132"/>
        <item x="344"/>
        <item x="241"/>
        <item x="10"/>
        <item x="97"/>
        <item x="257"/>
        <item x="228"/>
        <item x="333"/>
        <item x="68"/>
        <item x="295"/>
        <item x="390"/>
        <item x="100"/>
        <item x="194"/>
        <item x="181"/>
        <item x="187"/>
        <item x="184"/>
        <item x="178"/>
        <item x="128"/>
        <item x="341"/>
        <item x="342"/>
        <item x="402"/>
        <item x="110"/>
        <item x="376"/>
        <item x="366"/>
        <item x="370"/>
        <item x="368"/>
        <item x="61"/>
        <item x="389"/>
        <item x="325"/>
        <item x="30"/>
        <item x="137"/>
        <item x="338"/>
        <item x="240"/>
        <item x="174"/>
        <item x="177"/>
        <item x="411"/>
        <item x="155"/>
        <item x="162"/>
        <item x="154"/>
        <item x="156"/>
        <item x="173"/>
        <item x="406"/>
        <item x="405"/>
        <item x="171"/>
        <item x="29"/>
        <item x="323"/>
        <item x="216"/>
        <item x="31"/>
        <item x="372"/>
        <item x="267"/>
        <item x="367"/>
        <item x="371"/>
        <item x="369"/>
        <item x="329"/>
        <item x="18"/>
        <item x="134"/>
        <item x="83"/>
        <item x="9"/>
        <item x="179"/>
        <item x="209"/>
        <item x="84"/>
        <item x="80"/>
        <item x="56"/>
        <item x="245"/>
        <item x="250"/>
        <item x="253"/>
        <item x="45"/>
        <item x="48"/>
        <item x="113"/>
        <item x="75"/>
        <item x="230"/>
        <item x="350"/>
        <item x="326"/>
        <item x="172"/>
        <item x="157"/>
        <item x="229"/>
        <item x="381"/>
        <item x="383"/>
        <item x="349"/>
        <item x="278"/>
        <item x="283"/>
        <item x="284"/>
        <item x="41"/>
        <item x="332"/>
        <item x="291"/>
        <item x="175"/>
        <item x="12"/>
        <item x="210"/>
        <item x="224"/>
        <item x="220"/>
        <item x="214"/>
        <item x="218"/>
        <item x="221"/>
        <item x="219"/>
        <item x="212"/>
        <item x="330"/>
        <item x="364"/>
        <item x="309"/>
        <item x="293"/>
        <item x="315"/>
        <item x="314"/>
        <item x="308"/>
        <item x="348"/>
        <item x="260"/>
        <item x="99"/>
        <item x="74"/>
        <item x="273"/>
        <item x="231"/>
        <item x="232"/>
        <item x="246"/>
        <item x="55"/>
        <item x="270"/>
        <item x="120"/>
        <item x="124"/>
        <item x="121"/>
        <item x="47"/>
        <item x="248"/>
        <item x="251"/>
        <item x="334"/>
        <item x="414"/>
        <item x="165"/>
        <item x="164"/>
        <item x="328"/>
        <item x="217"/>
        <item x="54"/>
        <item x="57"/>
        <item x="239"/>
        <item x="282"/>
        <item x="279"/>
        <item x="287"/>
        <item x="36"/>
        <item x="32"/>
        <item x="34"/>
        <item x="38"/>
        <item x="39"/>
        <item x="271"/>
        <item x="237"/>
        <item x="235"/>
        <item x="233"/>
        <item x="238"/>
        <item x="236"/>
        <item x="234"/>
        <item x="213"/>
        <item x="225"/>
        <item x="227"/>
        <item x="226"/>
        <item x="222"/>
        <item x="347"/>
        <item x="64"/>
        <item x="65"/>
        <item x="255"/>
        <item x="394"/>
        <item x="262"/>
        <item x="261"/>
        <item x="268"/>
        <item x="317"/>
        <item x="281"/>
        <item x="316"/>
        <item x="398"/>
        <item x="395"/>
        <item x="391"/>
        <item x="182"/>
        <item x="285"/>
        <item x="286"/>
        <item x="92"/>
        <item x="85"/>
        <item x="25"/>
        <item x="23"/>
        <item x="15"/>
        <item x="26"/>
        <item x="163"/>
        <item x="91"/>
        <item x="94"/>
        <item x="304"/>
        <item x="20"/>
        <item x="199"/>
        <item x="204"/>
        <item x="401"/>
        <item x="0"/>
        <item x="1"/>
        <item x="2"/>
        <item x="3"/>
        <item x="5"/>
        <item x="6"/>
        <item x="7"/>
        <item x="8"/>
        <item x="275"/>
        <item x="104"/>
        <item x="201"/>
        <item x="196"/>
        <item x="277"/>
        <item x="375"/>
        <item n=" " x="415"/>
        <item x="324"/>
        <item x="52"/>
        <item x="186"/>
        <item x="192"/>
        <item x="193"/>
        <item x="197"/>
        <item x="292"/>
        <item x="359"/>
        <item x="361"/>
        <item x="362"/>
        <item x="363"/>
        <item x="4"/>
        <item x="49"/>
      </items>
    </pivotField>
    <pivotField name="Purpose / Additional Considerations / Lessons Learned" subtotalTop="0" showAll="0" defaultSubtotal="0"/>
    <pivotField subtotalTop="0" showAll="0" defaultSubtotal="0"/>
    <pivotField outline="0" subtotalTop="0" showAll="0" defaultSubtotal="0"/>
    <pivotField outline="0" subtotalTop="0" showAll="0" defaultSubtotal="0"/>
    <pivotField outline="0" showAll="0" defaultSubtotal="0"/>
    <pivotField axis="axisRow" outline="0" showAll="0" defaultSubtotal="0">
      <items count="1">
        <item x="0"/>
      </items>
    </pivotField>
  </pivotFields>
  <rowFields count="5">
    <field x="2"/>
    <field x="3"/>
    <field x="1"/>
    <field x="4"/>
    <field x="10"/>
  </rowFields>
  <rowItems count="435">
    <i>
      <x/>
    </i>
    <i r="1">
      <x v="1"/>
      <x/>
      <x v="388"/>
      <x/>
    </i>
    <i r="2">
      <x v="1"/>
      <x v="389"/>
      <x/>
    </i>
    <i r="2">
      <x v="2"/>
      <x v="390"/>
      <x/>
    </i>
    <i r="2">
      <x v="3"/>
      <x v="391"/>
      <x/>
    </i>
    <i r="2">
      <x v="4"/>
      <x v="414"/>
      <x/>
    </i>
    <i r="2">
      <x v="5"/>
      <x v="392"/>
      <x/>
    </i>
    <i r="2">
      <x v="6"/>
      <x v="393"/>
      <x/>
    </i>
    <i r="2">
      <x v="7"/>
      <x v="394"/>
      <x/>
    </i>
    <i r="2">
      <x v="8"/>
      <x v="395"/>
      <x/>
    </i>
    <i r="2">
      <x v="9"/>
      <x v="395"/>
      <x/>
    </i>
    <i r="1">
      <x v="2"/>
      <x v="2"/>
      <x v="267"/>
      <x/>
    </i>
    <i r="2">
      <x v="3"/>
      <x v="213"/>
      <x/>
    </i>
    <i r="2">
      <x v="4"/>
      <x v="155"/>
      <x/>
    </i>
    <i r="3">
      <x v="168"/>
      <x/>
    </i>
    <i r="3">
      <x v="296"/>
      <x/>
    </i>
    <i r="2">
      <x v="5"/>
      <x v="75"/>
      <x/>
    </i>
    <i r="3">
      <x v="145"/>
      <x/>
    </i>
    <i r="3">
      <x v="180"/>
      <x/>
    </i>
    <i r="3">
      <x v="264"/>
      <x/>
    </i>
    <i r="3">
      <x v="378"/>
      <x/>
    </i>
    <i r="2">
      <x v="6"/>
      <x v="72"/>
      <x/>
    </i>
    <i r="3">
      <x v="171"/>
      <x/>
    </i>
    <i r="3">
      <x v="384"/>
      <x/>
    </i>
    <i r="2">
      <x v="7"/>
      <x v="10"/>
      <x/>
    </i>
    <i r="3">
      <x v="169"/>
      <x/>
    </i>
    <i r="3">
      <x v="377"/>
      <x/>
    </i>
    <i r="2">
      <x v="8"/>
      <x v="376"/>
      <x/>
    </i>
    <i r="3">
      <x v="379"/>
      <x/>
    </i>
    <i r="2">
      <x v="9"/>
      <x v="114"/>
      <x/>
    </i>
    <i r="3">
      <x v="170"/>
      <x/>
    </i>
    <i r="1">
      <x v="3"/>
      <x v="1"/>
      <x v="254"/>
      <x/>
    </i>
    <i r="2">
      <x v="2"/>
      <x v="239"/>
      <x/>
    </i>
    <i r="2">
      <x v="3"/>
      <x v="257"/>
      <x/>
    </i>
    <i r="2">
      <x v="4"/>
      <x v="341"/>
      <x/>
    </i>
    <i r="2">
      <x v="5"/>
      <x v="73"/>
      <x/>
    </i>
    <i r="3">
      <x v="342"/>
      <x/>
    </i>
    <i r="2">
      <x v="6"/>
      <x v="74"/>
      <x/>
    </i>
    <i r="3">
      <x v="340"/>
      <x/>
    </i>
    <i r="2">
      <x v="7"/>
      <x v="77"/>
      <x/>
    </i>
    <i r="3">
      <x v="343"/>
      <x/>
    </i>
    <i r="2">
      <x v="8"/>
      <x v="344"/>
      <x/>
    </i>
    <i r="2">
      <x v="9"/>
      <x v="36"/>
      <x/>
    </i>
    <i>
      <x v="1"/>
    </i>
    <i r="1">
      <x v="4"/>
      <x v="2"/>
      <x v="292"/>
      <x/>
    </i>
    <i r="2">
      <x v="3"/>
      <x v="30"/>
      <x/>
    </i>
    <i r="3">
      <x v="84"/>
      <x/>
    </i>
    <i r="3">
      <x v="85"/>
      <x/>
    </i>
    <i r="2">
      <x v="4"/>
      <x v="94"/>
      <x/>
    </i>
    <i r="3">
      <x v="276"/>
      <x/>
    </i>
    <i r="3">
      <x v="325"/>
      <x/>
    </i>
    <i r="2">
      <x v="5"/>
      <x v="76"/>
      <x/>
    </i>
    <i r="3">
      <x v="79"/>
      <x/>
    </i>
    <i r="3">
      <x v="277"/>
      <x/>
    </i>
    <i r="3">
      <x v="415"/>
      <x/>
    </i>
    <i r="2">
      <x v="6"/>
      <x v="35"/>
      <x/>
    </i>
    <i r="3">
      <x v="404"/>
      <x/>
    </i>
    <i r="2">
      <x v="7"/>
      <x v="320"/>
      <x/>
    </i>
    <i r="3">
      <x v="334"/>
      <x/>
    </i>
    <i r="2">
      <x v="8"/>
      <x v="272"/>
      <x/>
    </i>
    <i r="3">
      <x v="335"/>
      <x/>
    </i>
    <i r="2">
      <x v="9"/>
      <x v="9"/>
      <x/>
    </i>
    <i r="3">
      <x v="47"/>
      <x/>
    </i>
    <i r="3">
      <x v="208"/>
      <x/>
    </i>
    <i r="1">
      <x v="5"/>
      <x/>
      <x v="236"/>
      <x/>
    </i>
    <i r="2">
      <x v="1"/>
      <x v="198"/>
      <x/>
    </i>
    <i r="3">
      <x v="200"/>
      <x/>
    </i>
    <i r="2">
      <x v="2"/>
      <x v="48"/>
      <x/>
    </i>
    <i r="3">
      <x v="358"/>
      <x/>
    </i>
    <i r="3">
      <x v="359"/>
      <x/>
    </i>
    <i r="2">
      <x v="3"/>
      <x v="29"/>
      <x/>
    </i>
    <i r="3">
      <x v="57"/>
      <x/>
    </i>
    <i r="3">
      <x v="102"/>
      <x/>
    </i>
    <i r="3">
      <x v="218"/>
      <x/>
    </i>
    <i r="2">
      <x v="4"/>
      <x v="6"/>
      <x/>
    </i>
    <i r="3">
      <x v="33"/>
      <x/>
    </i>
    <i r="3">
      <x v="92"/>
      <x/>
    </i>
    <i r="3">
      <x v="279"/>
      <x/>
    </i>
    <i r="3">
      <x v="315"/>
      <x/>
    </i>
    <i r="2">
      <x v="5"/>
      <x v="81"/>
      <x/>
    </i>
    <i r="3">
      <x v="138"/>
      <x/>
    </i>
    <i r="3">
      <x v="157"/>
      <x/>
    </i>
    <i r="3">
      <x v="187"/>
      <x/>
    </i>
    <i r="3">
      <x v="271"/>
      <x/>
    </i>
    <i r="2">
      <x v="6"/>
      <x v="80"/>
      <x/>
    </i>
    <i r="3">
      <x v="141"/>
      <x/>
    </i>
    <i r="3">
      <x v="266"/>
      <x/>
    </i>
    <i r="3">
      <x v="270"/>
      <x/>
    </i>
    <i r="2">
      <x v="7"/>
      <x v="63"/>
      <x/>
    </i>
    <i r="3">
      <x v="113"/>
      <x/>
    </i>
    <i r="3">
      <x v="142"/>
      <x/>
    </i>
    <i r="3">
      <x v="375"/>
      <x/>
    </i>
    <i r="2">
      <x v="8"/>
      <x v="8"/>
      <x/>
    </i>
    <i r="3">
      <x v="64"/>
      <x/>
    </i>
    <i r="3">
      <x v="184"/>
      <x/>
    </i>
    <i r="3">
      <x v="374"/>
      <x/>
    </i>
    <i r="3">
      <x v="381"/>
      <x/>
    </i>
    <i r="2">
      <x v="9"/>
      <x v="7"/>
      <x/>
    </i>
    <i r="3">
      <x v="382"/>
      <x/>
    </i>
    <i>
      <x v="2"/>
    </i>
    <i r="1">
      <x v="6"/>
      <x v="1"/>
      <x v="165"/>
      <x/>
    </i>
    <i r="2">
      <x v="2"/>
      <x v="122"/>
      <x/>
    </i>
    <i r="3">
      <x v="214"/>
      <x/>
    </i>
    <i r="3">
      <x v="314"/>
      <x/>
    </i>
    <i r="2">
      <x v="3"/>
      <x v="28"/>
      <x/>
    </i>
    <i r="3">
      <x v="150"/>
      <x/>
    </i>
    <i r="3">
      <x v="221"/>
      <x/>
    </i>
    <i r="2">
      <x v="4"/>
      <x v="95"/>
      <x/>
    </i>
    <i r="3">
      <x v="397"/>
      <x/>
    </i>
    <i r="2">
      <x v="5"/>
      <x v="203"/>
      <x/>
    </i>
    <i r="2">
      <x v="6"/>
      <x v="22"/>
      <x/>
    </i>
    <i r="2">
      <x v="7"/>
      <x v="204"/>
      <x/>
    </i>
    <i r="2">
      <x v="8"/>
      <x v="167"/>
      <x/>
    </i>
    <i r="2">
      <x v="9"/>
      <x v="166"/>
      <x/>
    </i>
    <i r="1">
      <x v="7"/>
      <x/>
      <x v="231"/>
      <x/>
    </i>
    <i r="2">
      <x v="1"/>
      <x v="202"/>
      <x/>
    </i>
    <i r="2">
      <x v="2"/>
      <x v="134"/>
      <x/>
    </i>
    <i r="2">
      <x v="3"/>
      <x v="1"/>
      <x/>
    </i>
    <i r="3">
      <x v="278"/>
      <x/>
    </i>
    <i r="2">
      <x v="4"/>
      <x v="25"/>
      <x/>
    </i>
    <i r="3">
      <x v="27"/>
      <x/>
    </i>
    <i r="2">
      <x v="5"/>
      <x v="26"/>
      <x/>
    </i>
    <i r="3">
      <x v="205"/>
      <x/>
    </i>
    <i r="3">
      <x v="206"/>
      <x/>
    </i>
    <i r="3">
      <x v="322"/>
      <x/>
    </i>
    <i r="2">
      <x v="6"/>
      <x/>
      <x/>
    </i>
    <i r="3">
      <x v="23"/>
      <x/>
    </i>
    <i r="3">
      <x v="323"/>
      <x/>
    </i>
    <i r="3">
      <x v="324"/>
      <x/>
    </i>
    <i r="2">
      <x v="7"/>
      <x v="24"/>
      <x/>
    </i>
    <i r="3">
      <x v="61"/>
      <x/>
    </i>
    <i r="3">
      <x v="106"/>
      <x/>
    </i>
    <i r="2">
      <x v="8"/>
      <x v="62"/>
      <x/>
    </i>
    <i r="3">
      <x v="186"/>
      <x/>
    </i>
    <i r="3">
      <x v="209"/>
      <x/>
    </i>
    <i r="3">
      <x v="227"/>
      <x/>
    </i>
    <i r="3">
      <x v="323"/>
      <x/>
    </i>
    <i r="2">
      <x v="9"/>
      <x v="60"/>
      <x/>
    </i>
    <i r="3">
      <x v="210"/>
      <x/>
    </i>
    <i r="1">
      <x v="8"/>
      <x/>
      <x v="265"/>
      <x/>
    </i>
    <i r="2">
      <x v="1"/>
      <x v="100"/>
      <x/>
    </i>
    <i r="2">
      <x v="2"/>
      <x v="101"/>
      <x/>
    </i>
    <i r="2">
      <x v="3"/>
      <x v="11"/>
      <x/>
    </i>
    <i r="3">
      <x v="110"/>
      <x/>
    </i>
    <i r="3">
      <x v="119"/>
      <x/>
    </i>
    <i r="3">
      <x v="240"/>
      <x/>
    </i>
    <i r="2">
      <x v="4"/>
      <x v="12"/>
      <x/>
    </i>
    <i r="3">
      <x v="120"/>
      <x/>
    </i>
    <i r="2">
      <x v="5"/>
      <x v="13"/>
      <x/>
    </i>
    <i r="3">
      <x v="111"/>
      <x/>
    </i>
    <i r="3">
      <x v="117"/>
      <x/>
    </i>
    <i r="2">
      <x v="6"/>
      <x v="14"/>
      <x/>
    </i>
    <i r="3">
      <x v="121"/>
      <x/>
    </i>
    <i r="2">
      <x v="7"/>
      <x v="15"/>
      <x/>
    </i>
    <i r="3">
      <x v="112"/>
      <x/>
    </i>
    <i r="3">
      <x v="118"/>
      <x/>
    </i>
    <i r="2">
      <x v="8"/>
      <x v="16"/>
      <x/>
    </i>
    <i r="3">
      <x v="116"/>
      <x/>
    </i>
    <i r="2">
      <x v="9"/>
      <x v="82"/>
      <x/>
    </i>
    <i>
      <x v="3"/>
    </i>
    <i r="1">
      <x v="9"/>
      <x/>
      <x v="248"/>
      <x/>
    </i>
    <i r="2">
      <x v="1"/>
      <x v="246"/>
      <x/>
    </i>
    <i r="2">
      <x v="2"/>
      <x v="249"/>
      <x/>
    </i>
    <i r="2">
      <x v="3"/>
      <x v="284"/>
      <x/>
    </i>
    <i r="2">
      <x v="4"/>
      <x v="40"/>
      <x/>
    </i>
    <i r="3">
      <x v="191"/>
      <x/>
    </i>
    <i r="2">
      <x v="5"/>
      <x v="46"/>
      <x/>
    </i>
    <i r="3">
      <x v="178"/>
      <x/>
    </i>
    <i r="3">
      <x v="247"/>
      <x/>
    </i>
    <i r="2">
      <x v="6"/>
      <x v="331"/>
      <x/>
    </i>
    <i r="3">
      <x v="380"/>
      <x/>
    </i>
    <i r="2">
      <x v="7"/>
      <x v="39"/>
      <x/>
    </i>
    <i r="3">
      <x v="330"/>
      <x/>
    </i>
    <i r="2">
      <x v="8"/>
      <x v="71"/>
      <x/>
    </i>
    <i r="3">
      <x v="193"/>
      <x/>
    </i>
    <i r="2">
      <x v="9"/>
      <x v="192"/>
      <x/>
    </i>
    <i r="1">
      <x v="10"/>
      <x v="1"/>
      <x v="153"/>
      <x/>
    </i>
    <i r="2">
      <x v="2"/>
      <x v="253"/>
      <x/>
    </i>
    <i r="2">
      <x v="3"/>
      <x v="250"/>
      <x/>
    </i>
    <i r="3">
      <x v="283"/>
      <x/>
    </i>
    <i r="2">
      <x v="4"/>
      <x v="154"/>
      <x/>
    </i>
    <i r="3">
      <x v="243"/>
      <x/>
    </i>
    <i r="3">
      <x v="295"/>
      <x/>
    </i>
    <i r="2">
      <x v="5"/>
      <x v="201"/>
      <x/>
    </i>
    <i r="3">
      <x v="226"/>
      <x/>
    </i>
    <i r="3">
      <x v="244"/>
      <x/>
    </i>
    <i r="3">
      <x v="268"/>
      <x/>
    </i>
    <i r="2">
      <x v="6"/>
      <x v="41"/>
      <x/>
    </i>
    <i r="3">
      <x v="223"/>
      <x/>
    </i>
    <i r="3">
      <x v="371"/>
      <x/>
    </i>
    <i r="2">
      <x v="7"/>
      <x v="37"/>
      <x/>
    </i>
    <i r="3">
      <x v="225"/>
      <x/>
    </i>
    <i r="3">
      <x v="405"/>
      <x/>
    </i>
    <i r="2">
      <x v="8"/>
      <x v="19"/>
      <x/>
    </i>
    <i r="3">
      <x v="224"/>
      <x/>
    </i>
    <i r="2">
      <x v="9"/>
      <x v="17"/>
      <x/>
    </i>
    <i r="1">
      <x v="11"/>
      <x v="2"/>
      <x v="146"/>
      <x/>
    </i>
    <i r="2">
      <x v="3"/>
      <x v="137"/>
      <x/>
    </i>
    <i r="2">
      <x v="4"/>
      <x v="406"/>
      <x/>
    </i>
    <i r="3">
      <x v="407"/>
      <x/>
    </i>
    <i r="2">
      <x v="5"/>
      <x v="56"/>
      <x/>
    </i>
    <i r="3">
      <x v="222"/>
      <x/>
    </i>
    <i r="2">
      <x v="6"/>
      <x v="128"/>
      <x/>
    </i>
    <i r="3">
      <x v="399"/>
      <x/>
    </i>
    <i r="3">
      <x v="408"/>
      <x/>
    </i>
    <i r="2">
      <x v="7"/>
      <x v="144"/>
      <x/>
    </i>
    <i r="3">
      <x v="159"/>
      <x/>
    </i>
    <i r="3">
      <x v="182"/>
      <x/>
    </i>
    <i r="3">
      <x v="385"/>
      <x/>
    </i>
    <i r="3">
      <x v="398"/>
      <x/>
    </i>
    <i r="2">
      <x v="8"/>
      <x v="32"/>
      <x/>
    </i>
    <i r="3">
      <x v="45"/>
      <x/>
    </i>
    <i r="3">
      <x v="78"/>
      <x/>
    </i>
    <i r="3">
      <x v="386"/>
      <x/>
    </i>
    <i r="2">
      <x v="9"/>
      <x v="386"/>
      <x/>
    </i>
    <i r="1">
      <x v="12"/>
      <x v="1"/>
      <x v="147"/>
      <x/>
    </i>
    <i r="2">
      <x v="2"/>
      <x v="147"/>
      <x/>
    </i>
    <i r="3">
      <x v="269"/>
      <x/>
    </i>
    <i r="3">
      <x v="297"/>
      <x/>
    </i>
    <i r="2">
      <x v="3"/>
      <x v="124"/>
      <x/>
    </i>
    <i r="3">
      <x v="297"/>
      <x/>
    </i>
    <i r="3">
      <x v="304"/>
      <x/>
    </i>
    <i r="3">
      <x v="352"/>
      <x/>
    </i>
    <i r="2">
      <x v="4"/>
      <x v="194"/>
      <x/>
    </i>
    <i r="3">
      <x v="256"/>
      <x/>
    </i>
    <i r="3">
      <x v="300"/>
      <x/>
    </i>
    <i r="2">
      <x v="5"/>
      <x v="300"/>
      <x/>
    </i>
    <i r="3">
      <x v="333"/>
      <x/>
    </i>
    <i r="2">
      <x v="6"/>
      <x v="301"/>
      <x/>
    </i>
    <i r="3">
      <x v="303"/>
      <x/>
    </i>
    <i r="2">
      <x v="7"/>
      <x v="91"/>
      <x/>
    </i>
    <i r="3">
      <x v="299"/>
      <x/>
    </i>
    <i r="3">
      <x v="302"/>
      <x/>
    </i>
    <i r="3">
      <x v="356"/>
      <x/>
    </i>
    <i r="2">
      <x v="8"/>
      <x v="298"/>
      <x/>
    </i>
    <i r="3">
      <x v="353"/>
      <x/>
    </i>
    <i r="3">
      <x v="355"/>
      <x/>
    </i>
    <i r="2">
      <x v="9"/>
      <x v="354"/>
      <x/>
    </i>
    <i>
      <x v="4"/>
    </i>
    <i r="1">
      <x v="13"/>
      <x v="1"/>
      <x v="216"/>
      <x/>
    </i>
    <i r="2">
      <x v="2"/>
      <x v="285"/>
      <x/>
    </i>
    <i r="2">
      <x v="3"/>
      <x v="280"/>
      <x/>
    </i>
    <i r="2">
      <x v="4"/>
      <x v="317"/>
      <x/>
    </i>
    <i r="2">
      <x v="5"/>
      <x v="318"/>
      <x/>
    </i>
    <i r="2">
      <x v="6"/>
      <x v="348"/>
      <x/>
    </i>
    <i r="2">
      <x v="7"/>
      <x v="347"/>
      <x/>
    </i>
    <i r="3">
      <x v="351"/>
      <x/>
    </i>
    <i r="2">
      <x v="8"/>
      <x v="346"/>
      <x/>
    </i>
    <i r="3">
      <x v="350"/>
      <x/>
    </i>
    <i r="2">
      <x v="9"/>
      <x v="336"/>
      <x/>
    </i>
    <i r="3">
      <x v="349"/>
      <x/>
    </i>
    <i r="1">
      <x v="14"/>
      <x v="1"/>
      <x v="242"/>
      <x/>
    </i>
    <i r="2">
      <x v="2"/>
      <x v="207"/>
      <x/>
    </i>
    <i r="3">
      <x v="212"/>
      <x/>
    </i>
    <i r="2">
      <x v="3"/>
      <x v="136"/>
      <x/>
    </i>
    <i r="2">
      <x v="4"/>
      <x v="156"/>
      <x/>
    </i>
    <i r="3">
      <x v="273"/>
      <x/>
    </i>
    <i r="2">
      <x v="5"/>
      <x v="149"/>
      <x/>
    </i>
    <i r="3">
      <x v="319"/>
      <x/>
    </i>
    <i r="2">
      <x v="6"/>
      <x v="148"/>
      <x/>
    </i>
    <i r="3">
      <x v="274"/>
      <x/>
    </i>
    <i r="3">
      <x v="326"/>
      <x/>
    </i>
    <i r="2">
      <x v="7"/>
      <x v="104"/>
      <x/>
    </i>
    <i r="3">
      <x v="275"/>
      <x/>
    </i>
    <i r="3">
      <x v="327"/>
      <x/>
    </i>
    <i r="2">
      <x v="8"/>
      <x v="69"/>
      <x/>
    </i>
    <i r="3">
      <x v="360"/>
      <x/>
    </i>
    <i r="2">
      <x v="9"/>
      <x v="68"/>
      <x/>
    </i>
    <i r="1">
      <x v="15"/>
      <x v="2"/>
      <x v="215"/>
      <x/>
    </i>
    <i r="2">
      <x v="3"/>
      <x v="139"/>
      <x/>
    </i>
    <i r="3">
      <x v="140"/>
      <x/>
    </i>
    <i r="2">
      <x v="4"/>
      <x v="313"/>
      <x/>
    </i>
    <i r="3">
      <x v="362"/>
      <x/>
    </i>
    <i r="3">
      <x v="363"/>
      <x/>
    </i>
    <i r="2">
      <x v="5"/>
      <x v="51"/>
      <x/>
    </i>
    <i r="3">
      <x v="89"/>
      <x/>
    </i>
    <i r="2">
      <x v="6"/>
      <x v="52"/>
      <x/>
    </i>
    <i r="3">
      <x v="90"/>
      <x/>
    </i>
    <i r="2">
      <x v="7"/>
      <x v="87"/>
      <x/>
    </i>
    <i r="3">
      <x v="259"/>
      <x/>
    </i>
    <i r="3">
      <x v="364"/>
      <x/>
    </i>
    <i r="2">
      <x v="8"/>
      <x v="88"/>
      <x/>
    </i>
    <i r="3">
      <x v="321"/>
      <x/>
    </i>
    <i r="3">
      <x v="345"/>
      <x/>
    </i>
    <i r="2">
      <x v="9"/>
      <x v="88"/>
      <x/>
    </i>
    <i r="3">
      <x v="316"/>
      <x/>
    </i>
    <i>
      <x v="5"/>
    </i>
    <i r="1">
      <x v="16"/>
      <x v="3"/>
      <x v="133"/>
      <x/>
    </i>
    <i r="3">
      <x v="396"/>
      <x/>
    </i>
    <i r="2">
      <x v="4"/>
      <x v="183"/>
      <x/>
    </i>
    <i r="2">
      <x v="5"/>
      <x v="289"/>
      <x/>
    </i>
    <i r="3">
      <x v="400"/>
      <x/>
    </i>
    <i r="2">
      <x v="6"/>
      <x v="96"/>
      <x/>
    </i>
    <i r="3">
      <x v="338"/>
      <x/>
    </i>
    <i r="3">
      <x v="366"/>
      <x/>
    </i>
    <i r="2">
      <x v="7"/>
      <x v="290"/>
      <x/>
    </i>
    <i r="3">
      <x v="337"/>
      <x/>
    </i>
    <i r="2">
      <x v="8"/>
      <x v="291"/>
      <x/>
    </i>
    <i r="3">
      <x v="372"/>
      <x/>
    </i>
    <i r="3">
      <x v="373"/>
      <x/>
    </i>
    <i r="2">
      <x v="9"/>
      <x v="53"/>
      <x/>
    </i>
    <i r="3">
      <x v="339"/>
      <x/>
    </i>
    <i r="3">
      <x v="372"/>
      <x/>
    </i>
    <i r="1">
      <x v="17"/>
      <x v="3"/>
      <x v="131"/>
      <x/>
    </i>
    <i r="3">
      <x v="132"/>
      <x/>
    </i>
    <i r="2">
      <x v="4"/>
      <x v="294"/>
      <x/>
    </i>
    <i r="3">
      <x v="308"/>
      <x/>
    </i>
    <i r="3">
      <x v="409"/>
      <x/>
    </i>
    <i r="2">
      <x v="5"/>
      <x v="123"/>
      <x/>
    </i>
    <i r="3">
      <x v="199"/>
      <x/>
    </i>
    <i r="3">
      <x v="219"/>
      <x/>
    </i>
    <i r="2">
      <x v="6"/>
      <x v="21"/>
      <x/>
    </i>
    <i r="3">
      <x v="58"/>
      <x/>
    </i>
    <i r="3">
      <x v="158"/>
      <x/>
    </i>
    <i r="2">
      <x v="7"/>
      <x v="31"/>
      <x/>
    </i>
    <i r="3">
      <x v="59"/>
      <x/>
    </i>
    <i r="3">
      <x v="115"/>
      <x/>
    </i>
    <i r="2">
      <x v="8"/>
      <x v="105"/>
      <x/>
    </i>
    <i r="2">
      <x v="9"/>
      <x v="97"/>
      <x/>
    </i>
    <i r="3">
      <x v="98"/>
      <x/>
    </i>
    <i r="3">
      <x v="383"/>
      <x/>
    </i>
    <i r="1">
      <x v="18"/>
      <x v="3"/>
      <x v="44"/>
      <x/>
    </i>
    <i r="2">
      <x v="4"/>
      <x v="311"/>
      <x/>
    </i>
    <i r="2">
      <x v="5"/>
      <x v="307"/>
      <x/>
    </i>
    <i r="2">
      <x v="6"/>
      <x v="93"/>
      <x/>
    </i>
    <i r="3">
      <x v="135"/>
      <x/>
    </i>
    <i r="3">
      <x v="160"/>
      <x/>
    </i>
    <i r="2">
      <x v="7"/>
      <x v="55"/>
      <x/>
    </i>
    <i r="3">
      <x v="309"/>
      <x/>
    </i>
    <i r="3">
      <x v="310"/>
      <x/>
    </i>
    <i r="3">
      <x v="365"/>
      <x/>
    </i>
    <i r="3">
      <x v="367"/>
      <x/>
    </i>
    <i r="2">
      <x v="8"/>
      <x v="54"/>
      <x/>
    </i>
    <i r="3">
      <x v="103"/>
      <x/>
    </i>
    <i r="3">
      <x v="108"/>
      <x/>
    </i>
    <i r="2">
      <x v="9"/>
      <x v="54"/>
      <x/>
    </i>
    <i r="3">
      <x v="107"/>
      <x/>
    </i>
    <i r="3">
      <x v="109"/>
      <x/>
    </i>
    <i>
      <x v="6"/>
    </i>
    <i r="1">
      <x v="19"/>
      <x v="2"/>
      <x v="255"/>
      <x/>
    </i>
    <i r="3">
      <x v="403"/>
      <x/>
    </i>
    <i r="2">
      <x v="3"/>
      <x v="162"/>
      <x/>
    </i>
    <i r="3">
      <x v="238"/>
      <x/>
    </i>
    <i r="3">
      <x v="282"/>
      <x/>
    </i>
    <i r="2">
      <x v="4"/>
      <x v="263"/>
      <x/>
    </i>
    <i r="3">
      <x v="305"/>
      <x/>
    </i>
    <i r="3">
      <x v="332"/>
      <x/>
    </i>
    <i r="2">
      <x v="5"/>
      <x v="70"/>
      <x/>
    </i>
    <i r="3">
      <x v="217"/>
      <x/>
    </i>
    <i r="3">
      <x v="293"/>
      <x/>
    </i>
    <i r="2">
      <x v="6"/>
      <x v="3"/>
      <x/>
    </i>
    <i r="3">
      <x v="5"/>
      <x/>
    </i>
    <i r="3">
      <x v="181"/>
      <x/>
    </i>
    <i r="3">
      <x v="328"/>
      <x/>
    </i>
    <i r="2">
      <x v="7"/>
      <x v="2"/>
      <x/>
    </i>
    <i r="3">
      <x v="4"/>
      <x/>
    </i>
    <i r="3">
      <x v="228"/>
      <x/>
    </i>
    <i r="3">
      <x v="241"/>
      <x/>
    </i>
    <i r="2">
      <x v="8"/>
      <x v="129"/>
      <x/>
    </i>
    <i r="3">
      <x v="229"/>
      <x/>
    </i>
    <i r="2">
      <x v="9"/>
      <x v="50"/>
      <x/>
    </i>
    <i r="3">
      <x v="211"/>
      <x/>
    </i>
    <i>
      <x v="7"/>
    </i>
    <i r="1">
      <x v="20"/>
      <x v="3"/>
      <x v="86"/>
      <x/>
    </i>
    <i r="2">
      <x v="4"/>
      <x v="312"/>
      <x/>
    </i>
    <i r="3">
      <x v="357"/>
      <x/>
    </i>
    <i r="2">
      <x v="5"/>
      <x v="281"/>
      <x/>
    </i>
    <i r="3">
      <x v="288"/>
      <x/>
    </i>
    <i r="2">
      <x v="6"/>
      <x v="49"/>
      <x/>
    </i>
    <i r="3">
      <x v="126"/>
      <x/>
    </i>
    <i r="2">
      <x v="7"/>
      <x v="151"/>
      <x/>
    </i>
    <i r="3">
      <x v="195"/>
      <x/>
    </i>
    <i r="3">
      <x v="197"/>
      <x/>
    </i>
    <i r="3">
      <x v="411"/>
      <x/>
    </i>
    <i r="2">
      <x v="8"/>
      <x v="125"/>
      <x/>
    </i>
    <i r="3">
      <x v="143"/>
      <x/>
    </i>
    <i r="3">
      <x v="196"/>
      <x/>
    </i>
    <i r="3">
      <x v="412"/>
      <x/>
    </i>
    <i r="3">
      <x v="413"/>
      <x/>
    </i>
    <i r="2">
      <x v="9"/>
      <x v="130"/>
      <x/>
    </i>
    <i r="3">
      <x v="410"/>
      <x/>
    </i>
    <i r="3">
      <x v="412"/>
      <x/>
    </i>
    <i r="3">
      <x v="413"/>
      <x/>
    </i>
    <i r="1">
      <x v="21"/>
      <x v="2"/>
      <x v="306"/>
      <x/>
    </i>
    <i r="2">
      <x v="3"/>
      <x v="161"/>
      <x/>
    </i>
    <i r="2">
      <x v="4"/>
      <x v="233"/>
      <x/>
    </i>
    <i r="3">
      <x v="260"/>
      <x/>
    </i>
    <i r="2">
      <x v="5"/>
      <x v="235"/>
      <x/>
    </i>
    <i r="3">
      <x v="262"/>
      <x/>
    </i>
    <i r="2">
      <x v="6"/>
      <x v="234"/>
      <x/>
    </i>
    <i r="3">
      <x v="261"/>
      <x/>
    </i>
    <i r="2">
      <x v="7"/>
      <x v="34"/>
      <x/>
    </i>
    <i r="3">
      <x v="43"/>
      <x/>
    </i>
    <i r="3">
      <x v="258"/>
      <x/>
    </i>
    <i r="3">
      <x v="401"/>
      <x/>
    </i>
    <i r="2">
      <x v="8"/>
      <x v="20"/>
      <x/>
    </i>
    <i r="3">
      <x v="232"/>
      <x/>
    </i>
    <i r="2">
      <x v="9"/>
      <x v="83"/>
      <x/>
    </i>
    <i r="3">
      <x v="164"/>
      <x/>
    </i>
    <i>
      <x v="8"/>
    </i>
    <i r="1">
      <x v="22"/>
      <x v="3"/>
      <x v="127"/>
      <x/>
    </i>
    <i r="3">
      <x v="286"/>
      <x/>
    </i>
    <i r="2">
      <x v="4"/>
      <x v="177"/>
      <x/>
    </i>
    <i r="3">
      <x v="287"/>
      <x/>
    </i>
    <i r="2">
      <x v="5"/>
      <x v="18"/>
      <x/>
    </i>
    <i r="3">
      <x v="172"/>
      <x/>
    </i>
    <i r="3">
      <x v="176"/>
      <x/>
    </i>
    <i r="2">
      <x v="6"/>
      <x v="152"/>
      <x/>
    </i>
    <i r="3">
      <x v="173"/>
      <x/>
    </i>
    <i r="3">
      <x v="220"/>
      <x/>
    </i>
    <i r="3">
      <x v="237"/>
      <x/>
    </i>
    <i r="3">
      <x v="370"/>
      <x/>
    </i>
    <i r="2">
      <x v="7"/>
      <x v="175"/>
      <x/>
    </i>
    <i r="3">
      <x v="188"/>
      <x/>
    </i>
    <i r="3">
      <x v="361"/>
      <x/>
    </i>
    <i r="3">
      <x v="369"/>
      <x/>
    </i>
    <i r="2">
      <x v="8"/>
      <x v="174"/>
      <x/>
    </i>
    <i r="3">
      <x v="190"/>
      <x/>
    </i>
    <i r="3">
      <x v="368"/>
      <x/>
    </i>
    <i r="2">
      <x v="9"/>
      <x v="189"/>
      <x/>
    </i>
    <i r="1">
      <x v="23"/>
      <x v="3"/>
      <x v="185"/>
      <x/>
    </i>
    <i r="2">
      <x v="4"/>
      <x v="99"/>
      <x/>
    </i>
    <i r="3">
      <x v="230"/>
      <x/>
    </i>
    <i r="3">
      <x v="387"/>
      <x/>
    </i>
    <i r="2">
      <x v="5"/>
      <x v="42"/>
      <x/>
    </i>
    <i r="3">
      <x v="163"/>
      <x/>
    </i>
    <i r="3">
      <x v="251"/>
      <x/>
    </i>
    <i r="3">
      <x v="252"/>
      <x/>
    </i>
    <i r="2">
      <x v="6"/>
      <x v="38"/>
      <x/>
    </i>
    <i r="3">
      <x v="66"/>
      <x/>
    </i>
    <i r="2">
      <x v="7"/>
      <x v="67"/>
      <x/>
    </i>
    <i r="3">
      <x v="245"/>
      <x/>
    </i>
    <i r="2">
      <x v="8"/>
      <x v="65"/>
      <x/>
    </i>
    <i r="3">
      <x v="179"/>
      <x/>
    </i>
    <i r="2">
      <x v="9"/>
      <x v="329"/>
      <x/>
    </i>
  </rowItems>
  <colItems count="1">
    <i/>
  </colItems>
  <pageFields count="1">
    <pageField fld="0" hier="0"/>
  </pageFields>
  <formats count="1848">
    <format dxfId="1857">
      <pivotArea dataOnly="0" labelOnly="1" outline="0" fieldPosition="0">
        <references count="1">
          <reference field="1" count="0"/>
        </references>
      </pivotArea>
    </format>
    <format dxfId="1856">
      <pivotArea field="4" type="button" dataOnly="0" labelOnly="1" outline="0" axis="axisRow" fieldPosition="3"/>
    </format>
    <format dxfId="1855">
      <pivotArea dataOnly="0" labelOnly="1" fieldPosition="0">
        <references count="1">
          <reference field="2" count="1">
            <x v="0"/>
          </reference>
        </references>
      </pivotArea>
    </format>
    <format dxfId="1854">
      <pivotArea dataOnly="0" labelOnly="1" fieldPosition="0">
        <references count="1">
          <reference field="2" count="1">
            <x v="1"/>
          </reference>
        </references>
      </pivotArea>
    </format>
    <format dxfId="1853">
      <pivotArea dataOnly="0" labelOnly="1" fieldPosition="0">
        <references count="1">
          <reference field="2" count="1">
            <x v="2"/>
          </reference>
        </references>
      </pivotArea>
    </format>
    <format dxfId="1852">
      <pivotArea dataOnly="0" labelOnly="1" fieldPosition="0">
        <references count="1">
          <reference field="2" count="1">
            <x v="3"/>
          </reference>
        </references>
      </pivotArea>
    </format>
    <format dxfId="1851">
      <pivotArea dataOnly="0" labelOnly="1" fieldPosition="0">
        <references count="1">
          <reference field="2" count="1">
            <x v="4"/>
          </reference>
        </references>
      </pivotArea>
    </format>
    <format dxfId="1850">
      <pivotArea dataOnly="0" labelOnly="1" fieldPosition="0">
        <references count="1">
          <reference field="2" count="1">
            <x v="5"/>
          </reference>
        </references>
      </pivotArea>
    </format>
    <format dxfId="1849">
      <pivotArea dataOnly="0" labelOnly="1" fieldPosition="0">
        <references count="1">
          <reference field="2" count="1">
            <x v="6"/>
          </reference>
        </references>
      </pivotArea>
    </format>
    <format dxfId="1848">
      <pivotArea dataOnly="0" labelOnly="1" fieldPosition="0">
        <references count="1">
          <reference field="2" count="1">
            <x v="7"/>
          </reference>
        </references>
      </pivotArea>
    </format>
    <format dxfId="1847">
      <pivotArea dataOnly="0" labelOnly="1" fieldPosition="0">
        <references count="1">
          <reference field="2" count="1">
            <x v="8"/>
          </reference>
        </references>
      </pivotArea>
    </format>
    <format dxfId="1846">
      <pivotArea dataOnly="0" labelOnly="1" fieldPosition="0">
        <references count="1">
          <reference field="2" count="1">
            <x v="9"/>
          </reference>
        </references>
      </pivotArea>
    </format>
    <format dxfId="1845">
      <pivotArea dataOnly="0" labelOnly="1" grandRow="1" outline="0" fieldPosition="0"/>
    </format>
    <format dxfId="1844">
      <pivotArea field="4" type="button" dataOnly="0" labelOnly="1" outline="0" axis="axisRow" fieldPosition="3"/>
    </format>
    <format dxfId="1843">
      <pivotArea dataOnly="0" labelOnly="1" fieldPosition="0">
        <references count="1">
          <reference field="2" count="1">
            <x v="0"/>
          </reference>
        </references>
      </pivotArea>
    </format>
    <format dxfId="1842">
      <pivotArea dataOnly="0" labelOnly="1" fieldPosition="0">
        <references count="1">
          <reference field="2" count="1">
            <x v="1"/>
          </reference>
        </references>
      </pivotArea>
    </format>
    <format dxfId="1841">
      <pivotArea dataOnly="0" labelOnly="1" fieldPosition="0">
        <references count="1">
          <reference field="2" count="1">
            <x v="2"/>
          </reference>
        </references>
      </pivotArea>
    </format>
    <format dxfId="1840">
      <pivotArea dataOnly="0" labelOnly="1" fieldPosition="0">
        <references count="1">
          <reference field="2" count="1">
            <x v="3"/>
          </reference>
        </references>
      </pivotArea>
    </format>
    <format dxfId="1839">
      <pivotArea dataOnly="0" labelOnly="1" fieldPosition="0">
        <references count="1">
          <reference field="2" count="1">
            <x v="4"/>
          </reference>
        </references>
      </pivotArea>
    </format>
    <format dxfId="1838">
      <pivotArea dataOnly="0" labelOnly="1" fieldPosition="0">
        <references count="1">
          <reference field="2" count="1">
            <x v="5"/>
          </reference>
        </references>
      </pivotArea>
    </format>
    <format dxfId="1837">
      <pivotArea dataOnly="0" labelOnly="1" fieldPosition="0">
        <references count="1">
          <reference field="2" count="1">
            <x v="6"/>
          </reference>
        </references>
      </pivotArea>
    </format>
    <format dxfId="1836">
      <pivotArea dataOnly="0" labelOnly="1" fieldPosition="0">
        <references count="1">
          <reference field="2" count="1">
            <x v="7"/>
          </reference>
        </references>
      </pivotArea>
    </format>
    <format dxfId="1835">
      <pivotArea dataOnly="0" labelOnly="1" fieldPosition="0">
        <references count="1">
          <reference field="2" count="1">
            <x v="8"/>
          </reference>
        </references>
      </pivotArea>
    </format>
    <format dxfId="1834">
      <pivotArea dataOnly="0" labelOnly="1" fieldPosition="0">
        <references count="1">
          <reference field="2" count="1">
            <x v="9"/>
          </reference>
        </references>
      </pivotArea>
    </format>
    <format dxfId="1833">
      <pivotArea dataOnly="0" labelOnly="1" grandRow="1" outline="0" fieldPosition="0"/>
    </format>
    <format dxfId="1832">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831">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830">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829">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828">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827">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826">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825">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824">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823">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822">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821">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820">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819">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818">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817">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816">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815">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814">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813">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812">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811">
      <pivotArea dataOnly="0" labelOnly="1" fieldPosition="0">
        <references count="4">
          <reference field="1" count="1" selected="0">
            <x v="6"/>
          </reference>
          <reference field="2" count="1" selected="0">
            <x v="1"/>
          </reference>
          <reference field="3" count="1" selected="0">
            <x v="4"/>
          </reference>
          <reference field="4" count="1">
            <x v="35"/>
          </reference>
        </references>
      </pivotArea>
    </format>
    <format dxfId="1810">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809">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808">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807">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806">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805">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804">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803">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802">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801">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800">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799">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798">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797">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796">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795">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794">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793">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792">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791">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790">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789">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788">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787">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786">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785">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784">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783">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782">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781">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780">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779">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778">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777">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776">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775">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774">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773">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772">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771">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770">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769">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768">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767">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766">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765">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764">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763">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762">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761">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760">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759">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758">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757">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756">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755">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754">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753">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752">
      <pivotArea dataOnly="0" labelOnly="1" fieldPosition="0">
        <references count="4">
          <reference field="1" count="1" selected="0">
            <x v="7"/>
          </reference>
          <reference field="2" count="1" selected="0">
            <x v="3"/>
          </reference>
          <reference field="3" count="1" selected="0">
            <x v="10"/>
          </reference>
          <reference field="4" count="2">
            <x v="37"/>
            <x v="225"/>
          </reference>
        </references>
      </pivotArea>
    </format>
    <format dxfId="1751">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750">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749">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748">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747">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746">
      <pivotArea dataOnly="0" labelOnly="1" fieldPosition="0">
        <references count="4">
          <reference field="1" count="1" selected="0">
            <x v="6"/>
          </reference>
          <reference field="2" count="1" selected="0">
            <x v="3"/>
          </reference>
          <reference field="3" count="1" selected="0">
            <x v="11"/>
          </reference>
          <reference field="4" count="2">
            <x v="128"/>
            <x v="399"/>
          </reference>
        </references>
      </pivotArea>
    </format>
    <format dxfId="1745">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744">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743">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742">
      <pivotArea dataOnly="0" labelOnly="1" fieldPosition="0">
        <references count="4">
          <reference field="1" count="1" selected="0">
            <x v="2"/>
          </reference>
          <reference field="2" count="1" selected="0">
            <x v="3"/>
          </reference>
          <reference field="3" count="1" selected="0">
            <x v="12"/>
          </reference>
          <reference field="4" count="2">
            <x v="269"/>
            <x v="297"/>
          </reference>
        </references>
      </pivotArea>
    </format>
    <format dxfId="1741">
      <pivotArea dataOnly="0" labelOnly="1" fieldPosition="0">
        <references count="4">
          <reference field="1" count="1" selected="0">
            <x v="3"/>
          </reference>
          <reference field="2" count="1" selected="0">
            <x v="3"/>
          </reference>
          <reference field="3" count="1" selected="0">
            <x v="12"/>
          </reference>
          <reference field="4" count="3">
            <x v="124"/>
            <x v="304"/>
            <x v="352"/>
          </reference>
        </references>
      </pivotArea>
    </format>
    <format dxfId="1740">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739">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738">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737">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736">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735">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734">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733">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732">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731">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730">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729">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728">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727">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726">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725">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724">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723">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722">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721">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720">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719">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718">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717">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716">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715">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714">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713">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712">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711">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710">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709">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708">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707">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706">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705">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704">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703">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702">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701">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700">
      <pivotArea dataOnly="0" labelOnly="1" fieldPosition="0">
        <references count="4">
          <reference field="1" count="1" selected="0">
            <x v="4"/>
          </reference>
          <reference field="2" count="1" selected="0">
            <x v="5"/>
          </reference>
          <reference field="3" count="1" selected="0">
            <x v="17"/>
          </reference>
          <reference field="4" count="2">
            <x v="294"/>
            <x v="308"/>
          </reference>
        </references>
      </pivotArea>
    </format>
    <format dxfId="1699">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698">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697">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696">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695">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694">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693">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692">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691">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690">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689">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688">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687">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686">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685">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684">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683">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682">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681">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680">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679">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678">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677">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676">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675">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674">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673">
      <pivotArea dataOnly="0" labelOnly="1" fieldPosition="0">
        <references count="4">
          <reference field="1" count="1" selected="0">
            <x v="9"/>
          </reference>
          <reference field="2" count="1" selected="0">
            <x v="7"/>
          </reference>
          <reference field="3" count="1" selected="0">
            <x v="20"/>
          </reference>
          <reference field="4" count="1">
            <x v="130"/>
          </reference>
        </references>
      </pivotArea>
    </format>
    <format dxfId="1672">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671">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670">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669">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668">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667">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666">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665">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664">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663">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662">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661">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660">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659">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658">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657">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656">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655">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654">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653">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652">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651">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650">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649">
      <pivotArea field="4" type="button" dataOnly="0" labelOnly="1" outline="0" axis="axisRow" fieldPosition="3"/>
    </format>
    <format dxfId="1648">
      <pivotArea dataOnly="0" labelOnly="1" fieldPosition="0">
        <references count="1">
          <reference field="2" count="1">
            <x v="0"/>
          </reference>
        </references>
      </pivotArea>
    </format>
    <format dxfId="1647">
      <pivotArea dataOnly="0" labelOnly="1" fieldPosition="0">
        <references count="1">
          <reference field="2" count="1">
            <x v="1"/>
          </reference>
        </references>
      </pivotArea>
    </format>
    <format dxfId="1646">
      <pivotArea dataOnly="0" labelOnly="1" fieldPosition="0">
        <references count="1">
          <reference field="2" count="1">
            <x v="2"/>
          </reference>
        </references>
      </pivotArea>
    </format>
    <format dxfId="1645">
      <pivotArea dataOnly="0" labelOnly="1" fieldPosition="0">
        <references count="1">
          <reference field="2" count="1">
            <x v="3"/>
          </reference>
        </references>
      </pivotArea>
    </format>
    <format dxfId="1644">
      <pivotArea dataOnly="0" labelOnly="1" fieldPosition="0">
        <references count="1">
          <reference field="2" count="1">
            <x v="4"/>
          </reference>
        </references>
      </pivotArea>
    </format>
    <format dxfId="1643">
      <pivotArea dataOnly="0" labelOnly="1" fieldPosition="0">
        <references count="1">
          <reference field="2" count="1">
            <x v="5"/>
          </reference>
        </references>
      </pivotArea>
    </format>
    <format dxfId="1642">
      <pivotArea dataOnly="0" labelOnly="1" fieldPosition="0">
        <references count="1">
          <reference field="2" count="1">
            <x v="6"/>
          </reference>
        </references>
      </pivotArea>
    </format>
    <format dxfId="1641">
      <pivotArea dataOnly="0" labelOnly="1" fieldPosition="0">
        <references count="1">
          <reference field="2" count="1">
            <x v="7"/>
          </reference>
        </references>
      </pivotArea>
    </format>
    <format dxfId="1640">
      <pivotArea dataOnly="0" labelOnly="1" fieldPosition="0">
        <references count="1">
          <reference field="2" count="1">
            <x v="8"/>
          </reference>
        </references>
      </pivotArea>
    </format>
    <format dxfId="1639">
      <pivotArea dataOnly="0" labelOnly="1" fieldPosition="0">
        <references count="1">
          <reference field="2" count="1">
            <x v="9"/>
          </reference>
        </references>
      </pivotArea>
    </format>
    <format dxfId="1638">
      <pivotArea dataOnly="0" labelOnly="1" grandRow="1" outline="0" fieldPosition="0"/>
    </format>
    <format dxfId="1637">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636">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635">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634">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633">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632">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631">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630">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629">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628">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627">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626">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625">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624">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623">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622">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621">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620">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619">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618">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617">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616">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615">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614">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613">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612">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611">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610">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609">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608">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607">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606">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605">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604">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603">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602">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601">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600">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599">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598">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597">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596">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595">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594">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593">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592">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591">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590">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589">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588">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587">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586">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585">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584">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583">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582">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581">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580">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579">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578">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577">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576">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575">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574">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573">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572">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571">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570">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569">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568">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567">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566">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565">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564">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563">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562">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561">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560">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559">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558">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557">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556">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555">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554">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553">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552">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551">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550">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549">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548">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547">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546">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545">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544">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543">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542">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541">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540">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539">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538">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537">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536">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535">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534">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533">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532">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531">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530">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529">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528">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527">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526">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525">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524">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523">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522">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521">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520">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519">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518">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517">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516">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515">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514">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513">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512">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511">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510">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509">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508">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507">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506">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505">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504">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503">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502">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501">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500">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499">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498">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497">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496">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495">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494">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493">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492">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491">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490">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489">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488">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487">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486">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485">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484">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483">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482">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481">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480">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479">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478">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477">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476">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475">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474">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473">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472">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471">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470">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469">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468">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467">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466">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465">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464">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463">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462">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461">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460">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459">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458">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457">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456">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455">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454">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453">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452">
      <pivotArea field="4" type="button" dataOnly="0" labelOnly="1" outline="0" axis="axisRow" fieldPosition="3"/>
    </format>
    <format dxfId="1451">
      <pivotArea dataOnly="0" labelOnly="1" fieldPosition="0">
        <references count="1">
          <reference field="2" count="1">
            <x v="0"/>
          </reference>
        </references>
      </pivotArea>
    </format>
    <format dxfId="1450">
      <pivotArea dataOnly="0" labelOnly="1" fieldPosition="0">
        <references count="1">
          <reference field="2" count="1">
            <x v="1"/>
          </reference>
        </references>
      </pivotArea>
    </format>
    <format dxfId="1449">
      <pivotArea dataOnly="0" labelOnly="1" fieldPosition="0">
        <references count="1">
          <reference field="2" count="1">
            <x v="2"/>
          </reference>
        </references>
      </pivotArea>
    </format>
    <format dxfId="1448">
      <pivotArea dataOnly="0" labelOnly="1" fieldPosition="0">
        <references count="1">
          <reference field="2" count="1">
            <x v="3"/>
          </reference>
        </references>
      </pivotArea>
    </format>
    <format dxfId="1447">
      <pivotArea dataOnly="0" labelOnly="1" fieldPosition="0">
        <references count="1">
          <reference field="2" count="1">
            <x v="4"/>
          </reference>
        </references>
      </pivotArea>
    </format>
    <format dxfId="1446">
      <pivotArea dataOnly="0" labelOnly="1" fieldPosition="0">
        <references count="1">
          <reference field="2" count="1">
            <x v="5"/>
          </reference>
        </references>
      </pivotArea>
    </format>
    <format dxfId="1445">
      <pivotArea dataOnly="0" labelOnly="1" fieldPosition="0">
        <references count="1">
          <reference field="2" count="1">
            <x v="6"/>
          </reference>
        </references>
      </pivotArea>
    </format>
    <format dxfId="1444">
      <pivotArea dataOnly="0" labelOnly="1" fieldPosition="0">
        <references count="1">
          <reference field="2" count="1">
            <x v="7"/>
          </reference>
        </references>
      </pivotArea>
    </format>
    <format dxfId="1443">
      <pivotArea dataOnly="0" labelOnly="1" fieldPosition="0">
        <references count="1">
          <reference field="2" count="1">
            <x v="8"/>
          </reference>
        </references>
      </pivotArea>
    </format>
    <format dxfId="1442">
      <pivotArea dataOnly="0" labelOnly="1" fieldPosition="0">
        <references count="1">
          <reference field="2" count="1">
            <x v="9"/>
          </reference>
        </references>
      </pivotArea>
    </format>
    <format dxfId="1441">
      <pivotArea dataOnly="0" labelOnly="1" grandRow="1" outline="0" fieldPosition="0"/>
    </format>
    <format dxfId="1440">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439">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438">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437">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436">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435">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434">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433">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432">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431">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430">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429">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428">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427">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426">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425">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424">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423">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422">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421">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420">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419">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418">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417">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416">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415">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414">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413">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412">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411">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410">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409">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408">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407">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406">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405">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404">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403">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402">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401">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400">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399">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398">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397">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396">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395">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394">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393">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392">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391">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390">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389">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388">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387">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386">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385">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384">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383">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382">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381">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380">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379">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378">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377">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376">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375">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374">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373">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372">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371">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370">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369">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368">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367">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366">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365">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364">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363">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362">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361">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360">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359">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358">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357">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356">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355">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354">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353">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352">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351">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350">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349">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348">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347">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346">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345">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344">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343">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342">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341">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340">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339">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338">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337">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336">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335">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334">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333">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332">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331">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330">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329">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328">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327">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326">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325">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324">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323">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322">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321">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320">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319">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318">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317">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316">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315">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314">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313">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312">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311">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310">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309">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308">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307">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306">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305">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304">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303">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302">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301">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300">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299">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298">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297">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296">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295">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294">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293">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292">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291">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290">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289">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288">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287">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286">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285">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284">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283">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282">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281">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280">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279">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278">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277">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276">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275">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274">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273">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272">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271">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270">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269">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268">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267">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266">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265">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264">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263">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262">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261">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260">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259">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258">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257">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256">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255">
      <pivotArea field="4" type="button" dataOnly="0" labelOnly="1" outline="0" axis="axisRow" fieldPosition="3"/>
    </format>
    <format dxfId="1254">
      <pivotArea dataOnly="0" labelOnly="1" fieldPosition="0">
        <references count="1">
          <reference field="2" count="1">
            <x v="0"/>
          </reference>
        </references>
      </pivotArea>
    </format>
    <format dxfId="1253">
      <pivotArea dataOnly="0" labelOnly="1" fieldPosition="0">
        <references count="1">
          <reference field="2" count="1">
            <x v="1"/>
          </reference>
        </references>
      </pivotArea>
    </format>
    <format dxfId="1252">
      <pivotArea dataOnly="0" labelOnly="1" fieldPosition="0">
        <references count="1">
          <reference field="2" count="1">
            <x v="2"/>
          </reference>
        </references>
      </pivotArea>
    </format>
    <format dxfId="1251">
      <pivotArea dataOnly="0" labelOnly="1" fieldPosition="0">
        <references count="1">
          <reference field="2" count="1">
            <x v="3"/>
          </reference>
        </references>
      </pivotArea>
    </format>
    <format dxfId="1250">
      <pivotArea dataOnly="0" labelOnly="1" fieldPosition="0">
        <references count="1">
          <reference field="2" count="1">
            <x v="4"/>
          </reference>
        </references>
      </pivotArea>
    </format>
    <format dxfId="1249">
      <pivotArea dataOnly="0" labelOnly="1" fieldPosition="0">
        <references count="1">
          <reference field="2" count="1">
            <x v="5"/>
          </reference>
        </references>
      </pivotArea>
    </format>
    <format dxfId="1248">
      <pivotArea dataOnly="0" labelOnly="1" fieldPosition="0">
        <references count="1">
          <reference field="2" count="1">
            <x v="6"/>
          </reference>
        </references>
      </pivotArea>
    </format>
    <format dxfId="1247">
      <pivotArea dataOnly="0" labelOnly="1" fieldPosition="0">
        <references count="1">
          <reference field="2" count="1">
            <x v="7"/>
          </reference>
        </references>
      </pivotArea>
    </format>
    <format dxfId="1246">
      <pivotArea dataOnly="0" labelOnly="1" fieldPosition="0">
        <references count="1">
          <reference field="2" count="1">
            <x v="8"/>
          </reference>
        </references>
      </pivotArea>
    </format>
    <format dxfId="1245">
      <pivotArea dataOnly="0" labelOnly="1" fieldPosition="0">
        <references count="1">
          <reference field="2" count="1">
            <x v="9"/>
          </reference>
        </references>
      </pivotArea>
    </format>
    <format dxfId="1244">
      <pivotArea dataOnly="0" labelOnly="1" grandRow="1" outline="0" fieldPosition="0"/>
    </format>
    <format dxfId="1243">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242">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241">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240">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239">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238">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237">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236">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235">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234">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233">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232">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231">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230">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229">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228">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227">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226">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225">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224">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223">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222">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221">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220">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219">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218">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217">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216">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215">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214">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213">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212">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211">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210">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209">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208">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207">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206">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205">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204">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203">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202">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201">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200">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199">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198">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197">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196">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195">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194">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193">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192">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191">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190">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189">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188">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187">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186">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185">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184">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183">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182">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181">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180">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179">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178">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177">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176">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175">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174">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173">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172">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171">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170">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169">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168">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167">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166">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165">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164">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163">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162">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161">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160">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159">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158">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157">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156">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155">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154">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153">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152">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151">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150">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149">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148">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147">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146">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145">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144">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143">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142">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141">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140">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139">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138">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137">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136">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135">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134">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133">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132">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131">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130">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129">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128">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127">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126">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125">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124">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123">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122">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121">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120">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119">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118">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117">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116">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115">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114">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113">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112">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111">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110">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109">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108">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107">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106">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105">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104">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103">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102">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101">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100">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099">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098">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097">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096">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095">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094">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093">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092">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091">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090">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089">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088">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087">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086">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085">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084">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083">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082">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081">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080">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079">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078">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077">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076">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075">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074">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073">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072">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071">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070">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069">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068">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067">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066">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065">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064">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063">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062">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061">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060">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059">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058">
      <pivotArea field="4" type="button" dataOnly="0" labelOnly="1" outline="0" axis="axisRow" fieldPosition="3"/>
    </format>
    <format dxfId="1057">
      <pivotArea dataOnly="0" labelOnly="1" fieldPosition="0">
        <references count="1">
          <reference field="2" count="1">
            <x v="0"/>
          </reference>
        </references>
      </pivotArea>
    </format>
    <format dxfId="1056">
      <pivotArea dataOnly="0" labelOnly="1" fieldPosition="0">
        <references count="1">
          <reference field="2" count="1">
            <x v="1"/>
          </reference>
        </references>
      </pivotArea>
    </format>
    <format dxfId="1055">
      <pivotArea dataOnly="0" labelOnly="1" fieldPosition="0">
        <references count="1">
          <reference field="2" count="1">
            <x v="2"/>
          </reference>
        </references>
      </pivotArea>
    </format>
    <format dxfId="1054">
      <pivotArea dataOnly="0" labelOnly="1" fieldPosition="0">
        <references count="1">
          <reference field="2" count="1">
            <x v="3"/>
          </reference>
        </references>
      </pivotArea>
    </format>
    <format dxfId="1053">
      <pivotArea dataOnly="0" labelOnly="1" fieldPosition="0">
        <references count="1">
          <reference field="2" count="1">
            <x v="4"/>
          </reference>
        </references>
      </pivotArea>
    </format>
    <format dxfId="1052">
      <pivotArea dataOnly="0" labelOnly="1" fieldPosition="0">
        <references count="1">
          <reference field="2" count="1">
            <x v="5"/>
          </reference>
        </references>
      </pivotArea>
    </format>
    <format dxfId="1051">
      <pivotArea dataOnly="0" labelOnly="1" fieldPosition="0">
        <references count="1">
          <reference field="2" count="1">
            <x v="6"/>
          </reference>
        </references>
      </pivotArea>
    </format>
    <format dxfId="1050">
      <pivotArea dataOnly="0" labelOnly="1" fieldPosition="0">
        <references count="1">
          <reference field="2" count="1">
            <x v="7"/>
          </reference>
        </references>
      </pivotArea>
    </format>
    <format dxfId="1049">
      <pivotArea dataOnly="0" labelOnly="1" fieldPosition="0">
        <references count="1">
          <reference field="2" count="1">
            <x v="8"/>
          </reference>
        </references>
      </pivotArea>
    </format>
    <format dxfId="1048">
      <pivotArea dataOnly="0" labelOnly="1" fieldPosition="0">
        <references count="1">
          <reference field="2" count="1">
            <x v="9"/>
          </reference>
        </references>
      </pivotArea>
    </format>
    <format dxfId="1047">
      <pivotArea dataOnly="0" labelOnly="1" grandRow="1" outline="0" fieldPosition="0"/>
    </format>
    <format dxfId="1046">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045">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044">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043">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042">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041">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040">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039">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038">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037">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036">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035">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034">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033">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032">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031">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030">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029">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028">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027">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026">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025">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024">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023">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022">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021">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020">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019">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018">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017">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016">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015">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014">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013">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012">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011">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010">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009">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008">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007">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006">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005">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004">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003">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002">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001">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000">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999">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998">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997">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996">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995">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994">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993">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992">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991">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990">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989">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988">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987">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986">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985">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984">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983">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982">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981">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980">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979">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978">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977">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976">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975">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974">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973">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972">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971">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970">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969">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968">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967">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966">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965">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964">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963">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962">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961">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960">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959">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958">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957">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956">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955">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954">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953">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952">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951">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950">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949">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948">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947">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946">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945">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944">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943">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942">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941">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940">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939">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938">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937">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936">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935">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934">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933">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932">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931">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930">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929">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928">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927">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926">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925">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924">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923">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922">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921">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920">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919">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918">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917">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916">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915">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914">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913">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912">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911">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910">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909">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908">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907">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906">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905">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904">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903">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902">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901">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900">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899">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898">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897">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896">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895">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894">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893">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892">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891">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890">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889">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888">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887">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886">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885">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884">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883">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882">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881">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880">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879">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878">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877">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876">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875">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874">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873">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872">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871">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870">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869">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868">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867">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866">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865">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864">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863">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862">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861">
      <pivotArea field="4" type="button" dataOnly="0" labelOnly="1" outline="0" axis="axisRow" fieldPosition="3"/>
    </format>
    <format dxfId="860">
      <pivotArea dataOnly="0" labelOnly="1" fieldPosition="0">
        <references count="1">
          <reference field="2" count="1">
            <x v="0"/>
          </reference>
        </references>
      </pivotArea>
    </format>
    <format dxfId="859">
      <pivotArea dataOnly="0" labelOnly="1" fieldPosition="0">
        <references count="1">
          <reference field="2" count="1">
            <x v="1"/>
          </reference>
        </references>
      </pivotArea>
    </format>
    <format dxfId="858">
      <pivotArea dataOnly="0" labelOnly="1" fieldPosition="0">
        <references count="1">
          <reference field="2" count="1">
            <x v="2"/>
          </reference>
        </references>
      </pivotArea>
    </format>
    <format dxfId="857">
      <pivotArea dataOnly="0" labelOnly="1" fieldPosition="0">
        <references count="1">
          <reference field="2" count="1">
            <x v="3"/>
          </reference>
        </references>
      </pivotArea>
    </format>
    <format dxfId="856">
      <pivotArea dataOnly="0" labelOnly="1" fieldPosition="0">
        <references count="1">
          <reference field="2" count="1">
            <x v="4"/>
          </reference>
        </references>
      </pivotArea>
    </format>
    <format dxfId="855">
      <pivotArea dataOnly="0" labelOnly="1" fieldPosition="0">
        <references count="1">
          <reference field="2" count="1">
            <x v="5"/>
          </reference>
        </references>
      </pivotArea>
    </format>
    <format dxfId="854">
      <pivotArea dataOnly="0" labelOnly="1" fieldPosition="0">
        <references count="1">
          <reference field="2" count="1">
            <x v="6"/>
          </reference>
        </references>
      </pivotArea>
    </format>
    <format dxfId="853">
      <pivotArea dataOnly="0" labelOnly="1" fieldPosition="0">
        <references count="1">
          <reference field="2" count="1">
            <x v="7"/>
          </reference>
        </references>
      </pivotArea>
    </format>
    <format dxfId="852">
      <pivotArea dataOnly="0" labelOnly="1" fieldPosition="0">
        <references count="1">
          <reference field="2" count="1">
            <x v="8"/>
          </reference>
        </references>
      </pivotArea>
    </format>
    <format dxfId="851">
      <pivotArea dataOnly="0" labelOnly="1" fieldPosition="0">
        <references count="1">
          <reference field="2" count="1">
            <x v="9"/>
          </reference>
        </references>
      </pivotArea>
    </format>
    <format dxfId="850">
      <pivotArea dataOnly="0" labelOnly="1" grandRow="1" outline="0" fieldPosition="0"/>
    </format>
    <format dxfId="849">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848">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847">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846">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845">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844">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843">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842">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841">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840">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839">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838">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837">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836">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835">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834">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833">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832">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831">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830">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829">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828">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827">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826">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825">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824">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823">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822">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821">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820">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819">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818">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817">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816">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815">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814">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813">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812">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811">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810">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809">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808">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807">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806">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805">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804">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803">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802">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801">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800">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799">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798">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797">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796">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795">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794">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793">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792">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791">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790">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789">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788">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787">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786">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785">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784">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783">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782">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781">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780">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779">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778">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777">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776">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775">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774">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773">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772">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771">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770">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769">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768">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767">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766">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765">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764">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763">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762">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761">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760">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759">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758">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757">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756">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755">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754">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753">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752">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751">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750">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749">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748">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747">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746">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745">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744">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743">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742">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741">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740">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739">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738">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737">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736">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735">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734">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733">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732">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731">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730">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729">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728">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727">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726">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725">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724">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723">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722">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721">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720">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719">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718">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717">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716">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715">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714">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713">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712">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711">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710">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709">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708">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707">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706">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705">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704">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703">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702">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701">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700">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699">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698">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697">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696">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695">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694">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693">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692">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691">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690">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689">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688">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687">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686">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685">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684">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683">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682">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681">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680">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679">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678">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677">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676">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675">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674">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673">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672">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671">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670">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669">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668">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667">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666">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665">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664">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663">
      <pivotArea field="4" type="button" dataOnly="0" labelOnly="1" outline="0" axis="axisRow" fieldPosition="3"/>
    </format>
    <format dxfId="662">
      <pivotArea dataOnly="0" labelOnly="1" fieldPosition="0">
        <references count="1">
          <reference field="2" count="1">
            <x v="0"/>
          </reference>
        </references>
      </pivotArea>
    </format>
    <format dxfId="661">
      <pivotArea dataOnly="0" labelOnly="1" fieldPosition="0">
        <references count="1">
          <reference field="2" count="1">
            <x v="1"/>
          </reference>
        </references>
      </pivotArea>
    </format>
    <format dxfId="660">
      <pivotArea dataOnly="0" labelOnly="1" fieldPosition="0">
        <references count="1">
          <reference field="2" count="1">
            <x v="2"/>
          </reference>
        </references>
      </pivotArea>
    </format>
    <format dxfId="659">
      <pivotArea dataOnly="0" labelOnly="1" fieldPosition="0">
        <references count="1">
          <reference field="2" count="1">
            <x v="3"/>
          </reference>
        </references>
      </pivotArea>
    </format>
    <format dxfId="658">
      <pivotArea dataOnly="0" labelOnly="1" fieldPosition="0">
        <references count="1">
          <reference field="2" count="1">
            <x v="4"/>
          </reference>
        </references>
      </pivotArea>
    </format>
    <format dxfId="657">
      <pivotArea dataOnly="0" labelOnly="1" fieldPosition="0">
        <references count="1">
          <reference field="2" count="1">
            <x v="5"/>
          </reference>
        </references>
      </pivotArea>
    </format>
    <format dxfId="656">
      <pivotArea dataOnly="0" labelOnly="1" fieldPosition="0">
        <references count="1">
          <reference field="2" count="1">
            <x v="6"/>
          </reference>
        </references>
      </pivotArea>
    </format>
    <format dxfId="655">
      <pivotArea dataOnly="0" labelOnly="1" fieldPosition="0">
        <references count="1">
          <reference field="2" count="1">
            <x v="7"/>
          </reference>
        </references>
      </pivotArea>
    </format>
    <format dxfId="654">
      <pivotArea dataOnly="0" labelOnly="1" fieldPosition="0">
        <references count="1">
          <reference field="2" count="1">
            <x v="8"/>
          </reference>
        </references>
      </pivotArea>
    </format>
    <format dxfId="653">
      <pivotArea dataOnly="0" labelOnly="1" fieldPosition="0">
        <references count="1">
          <reference field="2" count="1">
            <x v="9"/>
          </reference>
        </references>
      </pivotArea>
    </format>
    <format dxfId="652">
      <pivotArea dataOnly="0" labelOnly="1" grandRow="1" outline="0" fieldPosition="0"/>
    </format>
    <format dxfId="651">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650">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649">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648">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647">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646">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645">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644">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643">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642">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641">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640">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639">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638">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637">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636">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635">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634">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633">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632">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631">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630">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629">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628">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627">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626">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625">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624">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623">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622">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621">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620">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619">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618">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617">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616">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615">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614">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613">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612">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611">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610">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609">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608">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607">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606">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605">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604">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603">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602">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601">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600">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599">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598">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597">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596">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595">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594">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593">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592">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591">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590">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589">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588">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587">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586">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585">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584">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583">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582">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581">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580">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579">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578">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577">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576">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575">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574">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573">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572">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571">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570">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569">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568">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567">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566">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565">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564">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563">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562">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561">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560">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559">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558">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557">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556">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555">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554">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553">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552">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551">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550">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549">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548">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547">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546">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545">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544">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543">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542">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541">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540">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539">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538">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537">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536">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535">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534">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533">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532">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531">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530">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529">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528">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527">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526">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525">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524">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523">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522">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521">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520">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519">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518">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517">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516">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515">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514">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513">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512">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511">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510">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509">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508">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507">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506">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505">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504">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503">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502">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501">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500">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499">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498">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497">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496">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495">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494">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493">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492">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491">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490">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489">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488">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487">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486">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485">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484">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483">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482">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481">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480">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479">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478">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477">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476">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475">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474">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473">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472">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471">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470">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469">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468">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467">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466">
      <pivotArea field="4" type="button" dataOnly="0" labelOnly="1" outline="0" axis="axisRow" fieldPosition="3"/>
    </format>
    <format dxfId="465">
      <pivotArea dataOnly="0" labelOnly="1" fieldPosition="0">
        <references count="1">
          <reference field="2" count="1">
            <x v="0"/>
          </reference>
        </references>
      </pivotArea>
    </format>
    <format dxfId="464">
      <pivotArea dataOnly="0" labelOnly="1" fieldPosition="0">
        <references count="1">
          <reference field="2" count="1">
            <x v="1"/>
          </reference>
        </references>
      </pivotArea>
    </format>
    <format dxfId="463">
      <pivotArea dataOnly="0" labelOnly="1" fieldPosition="0">
        <references count="1">
          <reference field="2" count="1">
            <x v="2"/>
          </reference>
        </references>
      </pivotArea>
    </format>
    <format dxfId="462">
      <pivotArea dataOnly="0" labelOnly="1" fieldPosition="0">
        <references count="1">
          <reference field="2" count="1">
            <x v="3"/>
          </reference>
        </references>
      </pivotArea>
    </format>
    <format dxfId="461">
      <pivotArea dataOnly="0" labelOnly="1" fieldPosition="0">
        <references count="1">
          <reference field="2" count="1">
            <x v="4"/>
          </reference>
        </references>
      </pivotArea>
    </format>
    <format dxfId="460">
      <pivotArea dataOnly="0" labelOnly="1" fieldPosition="0">
        <references count="1">
          <reference field="2" count="1">
            <x v="5"/>
          </reference>
        </references>
      </pivotArea>
    </format>
    <format dxfId="459">
      <pivotArea dataOnly="0" labelOnly="1" fieldPosition="0">
        <references count="1">
          <reference field="2" count="1">
            <x v="6"/>
          </reference>
        </references>
      </pivotArea>
    </format>
    <format dxfId="458">
      <pivotArea dataOnly="0" labelOnly="1" fieldPosition="0">
        <references count="1">
          <reference field="2" count="1">
            <x v="7"/>
          </reference>
        </references>
      </pivotArea>
    </format>
    <format dxfId="457">
      <pivotArea dataOnly="0" labelOnly="1" fieldPosition="0">
        <references count="1">
          <reference field="2" count="1">
            <x v="8"/>
          </reference>
        </references>
      </pivotArea>
    </format>
    <format dxfId="456">
      <pivotArea dataOnly="0" labelOnly="1" fieldPosition="0">
        <references count="1">
          <reference field="2" count="1">
            <x v="9"/>
          </reference>
        </references>
      </pivotArea>
    </format>
    <format dxfId="455">
      <pivotArea dataOnly="0" labelOnly="1" grandRow="1" outline="0" fieldPosition="0"/>
    </format>
    <format dxfId="454">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453">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452">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451">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450">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449">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448">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447">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446">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445">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444">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443">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442">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441">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440">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439">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438">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437">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436">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435">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434">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433">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432">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431">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430">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429">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428">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427">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426">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425">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424">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423">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422">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421">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420">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419">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418">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417">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416">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415">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414">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413">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412">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411">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410">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409">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408">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407">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406">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405">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404">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403">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402">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401">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400">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399">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398">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397">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396">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395">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394">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393">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392">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391">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390">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389">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388">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387">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386">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385">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384">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383">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382">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381">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380">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379">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378">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377">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376">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375">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374">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373">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372">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371">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370">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369">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368">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367">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366">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365">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364">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363">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362">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361">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360">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359">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358">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357">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356">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355">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354">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353">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352">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351">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350">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349">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348">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347">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346">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345">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344">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343">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342">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341">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340">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339">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338">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337">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336">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335">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334">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333">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332">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331">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330">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329">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328">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327">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326">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325">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324">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323">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322">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321">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320">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319">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318">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317">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316">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315">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314">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313">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312">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311">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310">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309">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308">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307">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306">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305">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304">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303">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302">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301">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300">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299">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298">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297">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296">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295">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294">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293">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292">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291">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290">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289">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288">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287">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286">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285">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284">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283">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282">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281">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280">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279">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278">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277">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276">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275">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274">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273">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272">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271">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270">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269">
      <pivotArea type="all" dataOnly="0" outline="0" fieldPosition="0"/>
    </format>
    <format dxfId="268">
      <pivotArea field="2" type="button" dataOnly="0" labelOnly="1" outline="0" axis="axisRow" fieldPosition="0"/>
    </format>
    <format dxfId="267">
      <pivotArea field="1" type="button" dataOnly="0" labelOnly="1" outline="0" axis="axisRow" fieldPosition="2"/>
    </format>
    <format dxfId="266">
      <pivotArea field="4" type="button" dataOnly="0" labelOnly="1" outline="0" axis="axisRow" fieldPosition="3"/>
    </format>
    <format dxfId="265">
      <pivotArea dataOnly="0" labelOnly="1" fieldPosition="0">
        <references count="1">
          <reference field="2" count="0"/>
        </references>
      </pivotArea>
    </format>
    <format dxfId="264">
      <pivotArea dataOnly="0" labelOnly="1" grandRow="1" outline="0" fieldPosition="0"/>
    </format>
    <format dxfId="263">
      <pivotArea dataOnly="0" labelOnly="1" fieldPosition="0">
        <references count="2">
          <reference field="2" count="1" selected="0">
            <x v="0"/>
          </reference>
          <reference field="3" count="2">
            <x v="2"/>
            <x v="3"/>
          </reference>
        </references>
      </pivotArea>
    </format>
    <format dxfId="262">
      <pivotArea dataOnly="0" labelOnly="1" fieldPosition="0">
        <references count="2">
          <reference field="2" count="1" selected="0">
            <x v="1"/>
          </reference>
          <reference field="3" count="2">
            <x v="4"/>
            <x v="5"/>
          </reference>
        </references>
      </pivotArea>
    </format>
    <format dxfId="261">
      <pivotArea dataOnly="0" labelOnly="1" fieldPosition="0">
        <references count="2">
          <reference field="2" count="1" selected="0">
            <x v="2"/>
          </reference>
          <reference field="3" count="3">
            <x v="6"/>
            <x v="7"/>
            <x v="8"/>
          </reference>
        </references>
      </pivotArea>
    </format>
    <format dxfId="260">
      <pivotArea dataOnly="0" labelOnly="1" fieldPosition="0">
        <references count="2">
          <reference field="2" count="1" selected="0">
            <x v="3"/>
          </reference>
          <reference field="3" count="4">
            <x v="9"/>
            <x v="10"/>
            <x v="11"/>
            <x v="12"/>
          </reference>
        </references>
      </pivotArea>
    </format>
    <format dxfId="259">
      <pivotArea dataOnly="0" labelOnly="1" fieldPosition="0">
        <references count="2">
          <reference field="2" count="1" selected="0">
            <x v="4"/>
          </reference>
          <reference field="3" count="3">
            <x v="13"/>
            <x v="14"/>
            <x v="15"/>
          </reference>
        </references>
      </pivotArea>
    </format>
    <format dxfId="258">
      <pivotArea dataOnly="0" labelOnly="1" fieldPosition="0">
        <references count="2">
          <reference field="2" count="1" selected="0">
            <x v="5"/>
          </reference>
          <reference field="3" count="3">
            <x v="16"/>
            <x v="17"/>
            <x v="18"/>
          </reference>
        </references>
      </pivotArea>
    </format>
    <format dxfId="257">
      <pivotArea dataOnly="0" labelOnly="1" fieldPosition="0">
        <references count="2">
          <reference field="2" count="1" selected="0">
            <x v="6"/>
          </reference>
          <reference field="3" count="1">
            <x v="19"/>
          </reference>
        </references>
      </pivotArea>
    </format>
    <format dxfId="256">
      <pivotArea dataOnly="0" labelOnly="1" fieldPosition="0">
        <references count="2">
          <reference field="2" count="1" selected="0">
            <x v="7"/>
          </reference>
          <reference field="3" count="2">
            <x v="20"/>
            <x v="21"/>
          </reference>
        </references>
      </pivotArea>
    </format>
    <format dxfId="255">
      <pivotArea dataOnly="0" labelOnly="1" fieldPosition="0">
        <references count="2">
          <reference field="2" count="1" selected="0">
            <x v="8"/>
          </reference>
          <reference field="3" count="2">
            <x v="22"/>
            <x v="23"/>
          </reference>
        </references>
      </pivotArea>
    </format>
    <format dxfId="254">
      <pivotArea dataOnly="0" labelOnly="1" fieldPosition="0">
        <references count="2">
          <reference field="2" count="1" selected="0">
            <x v="9"/>
          </reference>
          <reference field="3" count="1">
            <x v="0"/>
          </reference>
        </references>
      </pivotArea>
    </format>
    <format dxfId="253">
      <pivotArea dataOnly="0" labelOnly="1" fieldPosition="0">
        <references count="3">
          <reference field="1" count="8">
            <x v="2"/>
            <x v="3"/>
            <x v="4"/>
            <x v="5"/>
            <x v="6"/>
            <x v="7"/>
            <x v="8"/>
            <x v="9"/>
          </reference>
          <reference field="2" count="1" selected="0">
            <x v="0"/>
          </reference>
          <reference field="3" count="1" selected="0">
            <x v="2"/>
          </reference>
        </references>
      </pivotArea>
    </format>
    <format dxfId="252">
      <pivotArea dataOnly="0" labelOnly="1" fieldPosition="0">
        <references count="3">
          <reference field="1" count="9">
            <x v="1"/>
            <x v="2"/>
            <x v="3"/>
            <x v="4"/>
            <x v="5"/>
            <x v="6"/>
            <x v="7"/>
            <x v="8"/>
            <x v="9"/>
          </reference>
          <reference field="2" count="1" selected="0">
            <x v="0"/>
          </reference>
          <reference field="3" count="1" selected="0">
            <x v="3"/>
          </reference>
        </references>
      </pivotArea>
    </format>
    <format dxfId="251">
      <pivotArea dataOnly="0" labelOnly="1" fieldPosition="0">
        <references count="3">
          <reference field="1" count="8">
            <x v="2"/>
            <x v="3"/>
            <x v="4"/>
            <x v="5"/>
            <x v="6"/>
            <x v="7"/>
            <x v="8"/>
            <x v="9"/>
          </reference>
          <reference field="2" count="1" selected="0">
            <x v="1"/>
          </reference>
          <reference field="3" count="1" selected="0">
            <x v="4"/>
          </reference>
        </references>
      </pivotArea>
    </format>
    <format dxfId="250">
      <pivotArea dataOnly="0" labelOnly="1" fieldPosition="0">
        <references count="3">
          <reference field="1" count="10">
            <x v="0"/>
            <x v="1"/>
            <x v="2"/>
            <x v="3"/>
            <x v="4"/>
            <x v="5"/>
            <x v="6"/>
            <x v="7"/>
            <x v="8"/>
            <x v="9"/>
          </reference>
          <reference field="2" count="1" selected="0">
            <x v="1"/>
          </reference>
          <reference field="3" count="1" selected="0">
            <x v="5"/>
          </reference>
        </references>
      </pivotArea>
    </format>
    <format dxfId="249">
      <pivotArea dataOnly="0" labelOnly="1" fieldPosition="0">
        <references count="3">
          <reference field="1" count="9">
            <x v="1"/>
            <x v="2"/>
            <x v="3"/>
            <x v="4"/>
            <x v="5"/>
            <x v="6"/>
            <x v="7"/>
            <x v="8"/>
            <x v="9"/>
          </reference>
          <reference field="2" count="1" selected="0">
            <x v="2"/>
          </reference>
          <reference field="3" count="1" selected="0">
            <x v="6"/>
          </reference>
        </references>
      </pivotArea>
    </format>
    <format dxfId="248">
      <pivotArea dataOnly="0" labelOnly="1" fieldPosition="0">
        <references count="3">
          <reference field="1" count="10">
            <x v="0"/>
            <x v="1"/>
            <x v="2"/>
            <x v="3"/>
            <x v="4"/>
            <x v="5"/>
            <x v="6"/>
            <x v="7"/>
            <x v="8"/>
            <x v="9"/>
          </reference>
          <reference field="2" count="1" selected="0">
            <x v="2"/>
          </reference>
          <reference field="3" count="1" selected="0">
            <x v="7"/>
          </reference>
        </references>
      </pivotArea>
    </format>
    <format dxfId="247">
      <pivotArea dataOnly="0" labelOnly="1" fieldPosition="0">
        <references count="3">
          <reference field="1" count="10">
            <x v="0"/>
            <x v="1"/>
            <x v="2"/>
            <x v="3"/>
            <x v="4"/>
            <x v="5"/>
            <x v="6"/>
            <x v="7"/>
            <x v="8"/>
            <x v="9"/>
          </reference>
          <reference field="2" count="1" selected="0">
            <x v="2"/>
          </reference>
          <reference field="3" count="1" selected="0">
            <x v="8"/>
          </reference>
        </references>
      </pivotArea>
    </format>
    <format dxfId="246">
      <pivotArea dataOnly="0" labelOnly="1" fieldPosition="0">
        <references count="3">
          <reference field="1" count="10">
            <x v="0"/>
            <x v="1"/>
            <x v="2"/>
            <x v="3"/>
            <x v="4"/>
            <x v="5"/>
            <x v="6"/>
            <x v="7"/>
            <x v="8"/>
            <x v="9"/>
          </reference>
          <reference field="2" count="1" selected="0">
            <x v="3"/>
          </reference>
          <reference field="3" count="1" selected="0">
            <x v="9"/>
          </reference>
        </references>
      </pivotArea>
    </format>
    <format dxfId="245">
      <pivotArea dataOnly="0" labelOnly="1" fieldPosition="0">
        <references count="3">
          <reference field="1" count="9">
            <x v="1"/>
            <x v="2"/>
            <x v="3"/>
            <x v="4"/>
            <x v="5"/>
            <x v="6"/>
            <x v="7"/>
            <x v="8"/>
            <x v="9"/>
          </reference>
          <reference field="2" count="1" selected="0">
            <x v="3"/>
          </reference>
          <reference field="3" count="1" selected="0">
            <x v="10"/>
          </reference>
        </references>
      </pivotArea>
    </format>
    <format dxfId="244">
      <pivotArea dataOnly="0" labelOnly="1" fieldPosition="0">
        <references count="3">
          <reference field="1" count="8">
            <x v="2"/>
            <x v="3"/>
            <x v="4"/>
            <x v="5"/>
            <x v="6"/>
            <x v="7"/>
            <x v="8"/>
            <x v="9"/>
          </reference>
          <reference field="2" count="1" selected="0">
            <x v="3"/>
          </reference>
          <reference field="3" count="1" selected="0">
            <x v="11"/>
          </reference>
        </references>
      </pivotArea>
    </format>
    <format dxfId="243">
      <pivotArea dataOnly="0" labelOnly="1" fieldPosition="0">
        <references count="3">
          <reference field="1" count="9">
            <x v="1"/>
            <x v="2"/>
            <x v="3"/>
            <x v="4"/>
            <x v="5"/>
            <x v="6"/>
            <x v="7"/>
            <x v="8"/>
            <x v="9"/>
          </reference>
          <reference field="2" count="1" selected="0">
            <x v="3"/>
          </reference>
          <reference field="3" count="1" selected="0">
            <x v="12"/>
          </reference>
        </references>
      </pivotArea>
    </format>
    <format dxfId="242">
      <pivotArea dataOnly="0" labelOnly="1" fieldPosition="0">
        <references count="3">
          <reference field="1" count="9">
            <x v="1"/>
            <x v="2"/>
            <x v="3"/>
            <x v="4"/>
            <x v="5"/>
            <x v="6"/>
            <x v="7"/>
            <x v="8"/>
            <x v="9"/>
          </reference>
          <reference field="2" count="1" selected="0">
            <x v="4"/>
          </reference>
          <reference field="3" count="1" selected="0">
            <x v="13"/>
          </reference>
        </references>
      </pivotArea>
    </format>
    <format dxfId="241">
      <pivotArea dataOnly="0" labelOnly="1" fieldPosition="0">
        <references count="3">
          <reference field="1" count="9">
            <x v="1"/>
            <x v="2"/>
            <x v="3"/>
            <x v="4"/>
            <x v="5"/>
            <x v="6"/>
            <x v="7"/>
            <x v="8"/>
            <x v="9"/>
          </reference>
          <reference field="2" count="1" selected="0">
            <x v="4"/>
          </reference>
          <reference field="3" count="1" selected="0">
            <x v="14"/>
          </reference>
        </references>
      </pivotArea>
    </format>
    <format dxfId="240">
      <pivotArea dataOnly="0" labelOnly="1" fieldPosition="0">
        <references count="3">
          <reference field="1" count="8">
            <x v="2"/>
            <x v="3"/>
            <x v="4"/>
            <x v="5"/>
            <x v="6"/>
            <x v="7"/>
            <x v="8"/>
            <x v="9"/>
          </reference>
          <reference field="2" count="1" selected="0">
            <x v="4"/>
          </reference>
          <reference field="3" count="1" selected="0">
            <x v="15"/>
          </reference>
        </references>
      </pivotArea>
    </format>
    <format dxfId="239">
      <pivotArea dataOnly="0" labelOnly="1" fieldPosition="0">
        <references count="3">
          <reference field="1" count="7">
            <x v="3"/>
            <x v="4"/>
            <x v="5"/>
            <x v="6"/>
            <x v="7"/>
            <x v="8"/>
            <x v="9"/>
          </reference>
          <reference field="2" count="1" selected="0">
            <x v="5"/>
          </reference>
          <reference field="3" count="1" selected="0">
            <x v="16"/>
          </reference>
        </references>
      </pivotArea>
    </format>
    <format dxfId="238">
      <pivotArea dataOnly="0" labelOnly="1" fieldPosition="0">
        <references count="3">
          <reference field="1" count="7">
            <x v="3"/>
            <x v="4"/>
            <x v="5"/>
            <x v="6"/>
            <x v="7"/>
            <x v="8"/>
            <x v="9"/>
          </reference>
          <reference field="2" count="1" selected="0">
            <x v="5"/>
          </reference>
          <reference field="3" count="1" selected="0">
            <x v="17"/>
          </reference>
        </references>
      </pivotArea>
    </format>
    <format dxfId="237">
      <pivotArea dataOnly="0" labelOnly="1" fieldPosition="0">
        <references count="3">
          <reference field="1" count="7">
            <x v="3"/>
            <x v="4"/>
            <x v="5"/>
            <x v="6"/>
            <x v="7"/>
            <x v="8"/>
            <x v="9"/>
          </reference>
          <reference field="2" count="1" selected="0">
            <x v="5"/>
          </reference>
          <reference field="3" count="1" selected="0">
            <x v="18"/>
          </reference>
        </references>
      </pivotArea>
    </format>
    <format dxfId="236">
      <pivotArea dataOnly="0" labelOnly="1" fieldPosition="0">
        <references count="3">
          <reference field="1" count="8">
            <x v="2"/>
            <x v="3"/>
            <x v="4"/>
            <x v="5"/>
            <x v="6"/>
            <x v="7"/>
            <x v="8"/>
            <x v="9"/>
          </reference>
          <reference field="2" count="1" selected="0">
            <x v="6"/>
          </reference>
          <reference field="3" count="1" selected="0">
            <x v="19"/>
          </reference>
        </references>
      </pivotArea>
    </format>
    <format dxfId="235">
      <pivotArea dataOnly="0" labelOnly="1" fieldPosition="0">
        <references count="3">
          <reference field="1" count="7">
            <x v="3"/>
            <x v="4"/>
            <x v="5"/>
            <x v="6"/>
            <x v="7"/>
            <x v="8"/>
            <x v="9"/>
          </reference>
          <reference field="2" count="1" selected="0">
            <x v="7"/>
          </reference>
          <reference field="3" count="1" selected="0">
            <x v="20"/>
          </reference>
        </references>
      </pivotArea>
    </format>
    <format dxfId="234">
      <pivotArea dataOnly="0" labelOnly="1" fieldPosition="0">
        <references count="3">
          <reference field="1" count="8">
            <x v="2"/>
            <x v="3"/>
            <x v="4"/>
            <x v="5"/>
            <x v="6"/>
            <x v="7"/>
            <x v="8"/>
            <x v="9"/>
          </reference>
          <reference field="2" count="1" selected="0">
            <x v="7"/>
          </reference>
          <reference field="3" count="1" selected="0">
            <x v="21"/>
          </reference>
        </references>
      </pivotArea>
    </format>
    <format dxfId="233">
      <pivotArea dataOnly="0" labelOnly="1" fieldPosition="0">
        <references count="3">
          <reference field="1" count="7">
            <x v="3"/>
            <x v="4"/>
            <x v="5"/>
            <x v="6"/>
            <x v="7"/>
            <x v="8"/>
            <x v="9"/>
          </reference>
          <reference field="2" count="1" selected="0">
            <x v="8"/>
          </reference>
          <reference field="3" count="1" selected="0">
            <x v="22"/>
          </reference>
        </references>
      </pivotArea>
    </format>
    <format dxfId="232">
      <pivotArea dataOnly="0" labelOnly="1" fieldPosition="0">
        <references count="3">
          <reference field="1" count="7">
            <x v="3"/>
            <x v="4"/>
            <x v="5"/>
            <x v="6"/>
            <x v="7"/>
            <x v="8"/>
            <x v="9"/>
          </reference>
          <reference field="2" count="1" selected="0">
            <x v="8"/>
          </reference>
          <reference field="3" count="1" selected="0">
            <x v="23"/>
          </reference>
        </references>
      </pivotArea>
    </format>
    <format dxfId="231">
      <pivotArea dataOnly="0" labelOnly="1" fieldPosition="0">
        <references count="3">
          <reference field="1" count="1">
            <x v="10"/>
          </reference>
          <reference field="2" count="1" selected="0">
            <x v="9"/>
          </reference>
          <reference field="3" count="1" selected="0">
            <x v="0"/>
          </reference>
        </references>
      </pivotArea>
    </format>
    <format dxfId="230">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229">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228">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227">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226">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225">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224">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223">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222">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221">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220">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219">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218">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217">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216">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215">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214">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213">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212">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211">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210">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209">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208">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207">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206">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205">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204">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203">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202">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201">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200">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99">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98">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97">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96">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95">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94">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93">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92">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91">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90">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89">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88">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87">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86">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85">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84">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83">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82">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81">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80">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79">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78">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77">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76">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75">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74">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73">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72">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71">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70">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69">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68">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67">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66">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65">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64">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63">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62">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61">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60">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59">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58">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57">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56">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55">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54">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53">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52">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51">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50">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49">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48">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47">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46">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45">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44">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43">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42">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41">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40">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39">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38">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37">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36">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35">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34">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33">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32">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31">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30">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29">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28">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27">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26">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25">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24">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23">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22">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21">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20">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19">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18">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17">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16">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15">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14">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13">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12">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11">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10">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09">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08">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07">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06">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05">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04">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03">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02">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01">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00">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99">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98">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97">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96">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95">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94">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93">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92">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91">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90">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89">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88">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87">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86">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85">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84">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83">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82">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81">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80">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79">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78">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77">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76">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75">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74">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73">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72">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71">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70">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69">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68">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67">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66">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65">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64">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63">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62">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61">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60">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59">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58">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57">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56">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55">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54">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53">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52">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51">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50">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49">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48">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47">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46">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45">
      <pivotArea field="0" type="button" dataOnly="0" labelOnly="1" outline="0" axis="axisPage" fieldPosition="0"/>
    </format>
    <format dxfId="44">
      <pivotArea field="0" type="button" dataOnly="0" labelOnly="1" outline="0" axis="axisPage" fieldPosition="0"/>
    </format>
    <format dxfId="43">
      <pivotArea field="2" type="button" dataOnly="0" labelOnly="1" outline="0" axis="axisRow" fieldPosition="0"/>
    </format>
    <format dxfId="42">
      <pivotArea dataOnly="0" labelOnly="1" outline="0" fieldPosition="0">
        <references count="1">
          <reference field="0" count="0"/>
        </references>
      </pivotArea>
    </format>
    <format dxfId="41">
      <pivotArea field="4" type="button" dataOnly="0" labelOnly="1" outline="0" axis="axisRow" fieldPosition="3"/>
    </format>
    <format dxfId="40">
      <pivotArea field="4" type="button" dataOnly="0" labelOnly="1" outline="0" axis="axisRow" fieldPosition="3"/>
    </format>
    <format dxfId="39">
      <pivotArea field="4" type="button" dataOnly="0" labelOnly="1" outline="0" axis="axisRow" fieldPosition="3"/>
    </format>
    <format dxfId="38">
      <pivotArea field="4" type="button" dataOnly="0" labelOnly="1" outline="0" axis="axisRow" fieldPosition="3"/>
    </format>
    <format dxfId="37">
      <pivotArea field="0" type="button" dataOnly="0" labelOnly="1" outline="0" axis="axisPage" fieldPosition="0"/>
    </format>
    <format dxfId="36">
      <pivotArea field="2" type="button" dataOnly="0" labelOnly="1" outline="0" axis="axisRow" fieldPosition="0"/>
    </format>
    <format dxfId="35">
      <pivotArea dataOnly="0" labelOnly="1" fieldPosition="0">
        <references count="1">
          <reference field="2" count="1">
            <x v="0"/>
          </reference>
        </references>
      </pivotArea>
    </format>
    <format dxfId="34">
      <pivotArea dataOnly="0" labelOnly="1" fieldPosition="0">
        <references count="1">
          <reference field="2" count="1">
            <x v="1"/>
          </reference>
        </references>
      </pivotArea>
    </format>
    <format dxfId="33">
      <pivotArea dataOnly="0" labelOnly="1" fieldPosition="0">
        <references count="1">
          <reference field="2" count="1">
            <x v="2"/>
          </reference>
        </references>
      </pivotArea>
    </format>
    <format dxfId="32">
      <pivotArea dataOnly="0" labelOnly="1" fieldPosition="0">
        <references count="1">
          <reference field="2" count="1">
            <x v="3"/>
          </reference>
        </references>
      </pivotArea>
    </format>
    <format dxfId="31">
      <pivotArea dataOnly="0" labelOnly="1" fieldPosition="0">
        <references count="1">
          <reference field="2" count="1">
            <x v="4"/>
          </reference>
        </references>
      </pivotArea>
    </format>
    <format dxfId="30">
      <pivotArea dataOnly="0" labelOnly="1" fieldPosition="0">
        <references count="1">
          <reference field="2" count="1">
            <x v="5"/>
          </reference>
        </references>
      </pivotArea>
    </format>
    <format dxfId="29">
      <pivotArea dataOnly="0" labelOnly="1" fieldPosition="0">
        <references count="1">
          <reference field="2" count="1">
            <x v="6"/>
          </reference>
        </references>
      </pivotArea>
    </format>
    <format dxfId="28">
      <pivotArea dataOnly="0" labelOnly="1" fieldPosition="0">
        <references count="1">
          <reference field="2" count="1">
            <x v="7"/>
          </reference>
        </references>
      </pivotArea>
    </format>
    <format dxfId="27">
      <pivotArea dataOnly="0" labelOnly="1" fieldPosition="0">
        <references count="1">
          <reference field="2" count="1">
            <x v="8"/>
          </reference>
        </references>
      </pivotArea>
    </format>
    <format dxfId="26">
      <pivotArea dataOnly="0" labelOnly="1" fieldPosition="0">
        <references count="1">
          <reference field="2" count="1">
            <x v="9"/>
          </reference>
        </references>
      </pivotArea>
    </format>
    <format dxfId="25">
      <pivotArea dataOnly="0" labelOnly="1" fieldPosition="0">
        <references count="2">
          <reference field="2" count="1" selected="0">
            <x v="0"/>
          </reference>
          <reference field="3" count="3">
            <x v="1"/>
            <x v="2"/>
            <x v="3"/>
          </reference>
        </references>
      </pivotArea>
    </format>
    <format dxfId="24">
      <pivotArea dataOnly="0" labelOnly="1" fieldPosition="0">
        <references count="2">
          <reference field="2" count="1" selected="0">
            <x v="1"/>
          </reference>
          <reference field="3" count="2">
            <x v="4"/>
            <x v="5"/>
          </reference>
        </references>
      </pivotArea>
    </format>
    <format dxfId="23">
      <pivotArea dataOnly="0" labelOnly="1" fieldPosition="0">
        <references count="2">
          <reference field="2" count="1" selected="0">
            <x v="2"/>
          </reference>
          <reference field="3" count="3">
            <x v="6"/>
            <x v="7"/>
            <x v="8"/>
          </reference>
        </references>
      </pivotArea>
    </format>
    <format dxfId="22">
      <pivotArea dataOnly="0" labelOnly="1" fieldPosition="0">
        <references count="2">
          <reference field="2" count="1" selected="0">
            <x v="3"/>
          </reference>
          <reference field="3" count="4">
            <x v="9"/>
            <x v="10"/>
            <x v="11"/>
            <x v="12"/>
          </reference>
        </references>
      </pivotArea>
    </format>
    <format dxfId="21">
      <pivotArea dataOnly="0" labelOnly="1" fieldPosition="0">
        <references count="2">
          <reference field="2" count="1" selected="0">
            <x v="4"/>
          </reference>
          <reference field="3" count="3">
            <x v="13"/>
            <x v="14"/>
            <x v="15"/>
          </reference>
        </references>
      </pivotArea>
    </format>
    <format dxfId="20">
      <pivotArea dataOnly="0" labelOnly="1" fieldPosition="0">
        <references count="2">
          <reference field="2" count="1" selected="0">
            <x v="5"/>
          </reference>
          <reference field="3" count="3">
            <x v="16"/>
            <x v="17"/>
            <x v="18"/>
          </reference>
        </references>
      </pivotArea>
    </format>
    <format dxfId="19">
      <pivotArea dataOnly="0" labelOnly="1" fieldPosition="0">
        <references count="2">
          <reference field="2" count="1" selected="0">
            <x v="6"/>
          </reference>
          <reference field="3" count="1">
            <x v="19"/>
          </reference>
        </references>
      </pivotArea>
    </format>
    <format dxfId="18">
      <pivotArea dataOnly="0" labelOnly="1" fieldPosition="0">
        <references count="2">
          <reference field="2" count="1" selected="0">
            <x v="7"/>
          </reference>
          <reference field="3" count="2">
            <x v="20"/>
            <x v="21"/>
          </reference>
        </references>
      </pivotArea>
    </format>
    <format dxfId="17">
      <pivotArea dataOnly="0" labelOnly="1" fieldPosition="0">
        <references count="2">
          <reference field="2" count="1" selected="0">
            <x v="8"/>
          </reference>
          <reference field="3" count="2">
            <x v="22"/>
            <x v="23"/>
          </reference>
        </references>
      </pivotArea>
    </format>
    <format dxfId="16">
      <pivotArea dataOnly="0" labelOnly="1" fieldPosition="0">
        <references count="2">
          <reference field="2" count="1" selected="0">
            <x v="9"/>
          </reference>
          <reference field="3" count="1">
            <x v="0"/>
          </reference>
        </references>
      </pivotArea>
    </format>
    <format dxfId="15">
      <pivotArea field="4" type="button" dataOnly="0" labelOnly="1" outline="0" axis="axisRow" fieldPosition="3"/>
    </format>
    <format dxfId="14">
      <pivotArea field="4" type="button" dataOnly="0" labelOnly="1" outline="0" axis="axisRow" fieldPosition="3"/>
    </format>
    <format dxfId="13">
      <pivotArea field="4" type="button" dataOnly="0" labelOnly="1" outline="0" axis="axisRow" fieldPosition="3"/>
    </format>
    <format dxfId="12">
      <pivotArea field="4" type="button" dataOnly="0" labelOnly="1" outline="0" axis="axisRow" fieldPosition="3"/>
    </format>
    <format dxfId="11">
      <pivotArea field="4" type="button" dataOnly="0" labelOnly="1" outline="0" axis="axisRow" fieldPosition="3"/>
    </format>
    <format dxfId="10">
      <pivotArea field="4" type="button" dataOnly="0" labelOnly="1" outline="0" axis="axisRow" fieldPosition="3"/>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efinitons" displayName="Definitons" ref="A2:B109" headerRowCount="0" headerRowDxfId="1866" dataDxfId="1865" totalsRowDxfId="1864" headerRowCellStyle="Normal 2">
  <tableColumns count="2">
    <tableColumn id="1" xr3:uid="{00000000-0010-0000-0000-000001000000}" name="DEFINITIONS" totalsRowLabel="Total" headerRowDxfId="1863" dataDxfId="1862" totalsRowDxfId="1861" dataCellStyle="Normal 2"/>
    <tableColumn id="2" xr3:uid="{00000000-0010-0000-0000-000002000000}" name="Column1" totalsRowFunction="count" headerRowDxfId="1860" dataDxfId="1859" totalsRowDxfId="1858" dataCellStyle="Normal 2"/>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5" Type="http://schemas.openxmlformats.org/officeDocument/2006/relationships/ctrlProp" Target="../ctrlProps/ctrlProp2.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D26"/>
  <sheetViews>
    <sheetView tabSelected="1" topLeftCell="A10" workbookViewId="0">
      <selection activeCell="C39" sqref="C39"/>
    </sheetView>
  </sheetViews>
  <sheetFormatPr defaultRowHeight="15" x14ac:dyDescent="0.25"/>
  <cols>
    <col min="1" max="1" width="2.7109375" customWidth="1"/>
    <col min="2" max="2" width="7.5703125" customWidth="1"/>
    <col min="3" max="3" width="147.42578125" customWidth="1"/>
  </cols>
  <sheetData>
    <row r="1" spans="2:4" ht="30.75" thickBot="1" x14ac:dyDescent="0.3">
      <c r="B1" s="159" t="s">
        <v>1228</v>
      </c>
      <c r="C1" s="160"/>
      <c r="D1" s="50"/>
    </row>
    <row r="2" spans="2:4" ht="30" x14ac:dyDescent="0.25">
      <c r="B2" s="161" t="s">
        <v>1229</v>
      </c>
      <c r="C2" s="162"/>
      <c r="D2" s="51"/>
    </row>
    <row r="3" spans="2:4" x14ac:dyDescent="0.25">
      <c r="B3" s="52" t="s">
        <v>1926</v>
      </c>
      <c r="C3" s="53"/>
    </row>
    <row r="4" spans="2:4" x14ac:dyDescent="0.25">
      <c r="B4" s="52"/>
      <c r="C4" s="54" t="s">
        <v>1230</v>
      </c>
    </row>
    <row r="5" spans="2:4" ht="30" x14ac:dyDescent="0.25">
      <c r="B5" s="52"/>
      <c r="C5" s="75" t="s">
        <v>1254</v>
      </c>
    </row>
    <row r="6" spans="2:4" x14ac:dyDescent="0.25">
      <c r="B6" s="52"/>
      <c r="C6" s="54" t="s">
        <v>1244</v>
      </c>
    </row>
    <row r="7" spans="2:4" x14ac:dyDescent="0.25">
      <c r="B7" s="52"/>
      <c r="C7" s="54" t="s">
        <v>1245</v>
      </c>
    </row>
    <row r="8" spans="2:4" ht="30" x14ac:dyDescent="0.25">
      <c r="B8" s="52"/>
      <c r="C8" s="54" t="s">
        <v>1246</v>
      </c>
    </row>
    <row r="9" spans="2:4" ht="45.75" thickBot="1" x14ac:dyDescent="0.3">
      <c r="B9" s="55"/>
      <c r="C9" s="56" t="s">
        <v>1247</v>
      </c>
    </row>
    <row r="10" spans="2:4" ht="20.25" x14ac:dyDescent="0.3">
      <c r="B10" s="163" t="s">
        <v>1243</v>
      </c>
      <c r="C10" s="164"/>
    </row>
    <row r="11" spans="2:4" ht="15.75" x14ac:dyDescent="0.25">
      <c r="B11" s="57" t="s">
        <v>1231</v>
      </c>
      <c r="C11" s="54"/>
    </row>
    <row r="12" spans="2:4" s="73" customFormat="1" ht="15.75" x14ac:dyDescent="0.25">
      <c r="B12" s="57"/>
      <c r="C12" s="54" t="s">
        <v>1253</v>
      </c>
    </row>
    <row r="13" spans="2:4" s="73" customFormat="1" ht="30" x14ac:dyDescent="0.25">
      <c r="B13" s="57"/>
      <c r="C13" s="54" t="s">
        <v>1255</v>
      </c>
    </row>
    <row r="14" spans="2:4" x14ac:dyDescent="0.25">
      <c r="B14" s="52"/>
      <c r="C14" s="54" t="s">
        <v>1232</v>
      </c>
    </row>
    <row r="15" spans="2:4" x14ac:dyDescent="0.25">
      <c r="B15" s="52"/>
      <c r="C15" s="54" t="s">
        <v>1233</v>
      </c>
    </row>
    <row r="16" spans="2:4" ht="15.75" x14ac:dyDescent="0.25">
      <c r="B16" s="57" t="s">
        <v>1234</v>
      </c>
      <c r="C16" s="53"/>
    </row>
    <row r="17" spans="2:3" x14ac:dyDescent="0.25">
      <c r="B17" s="52"/>
      <c r="C17" s="54" t="s">
        <v>1235</v>
      </c>
    </row>
    <row r="18" spans="2:3" ht="30" x14ac:dyDescent="0.25">
      <c r="B18" s="52"/>
      <c r="C18" s="54" t="s">
        <v>1236</v>
      </c>
    </row>
    <row r="19" spans="2:3" ht="30" x14ac:dyDescent="0.25">
      <c r="B19" s="52"/>
      <c r="C19" s="58" t="s">
        <v>1237</v>
      </c>
    </row>
    <row r="20" spans="2:3" ht="15.75" x14ac:dyDescent="0.25">
      <c r="B20" s="57" t="s">
        <v>1238</v>
      </c>
      <c r="C20" s="54"/>
    </row>
    <row r="21" spans="2:3" ht="30" x14ac:dyDescent="0.25">
      <c r="B21" s="52"/>
      <c r="C21" s="54" t="s">
        <v>1239</v>
      </c>
    </row>
    <row r="22" spans="2:3" x14ac:dyDescent="0.25">
      <c r="B22" s="52"/>
      <c r="C22" s="54" t="s">
        <v>1240</v>
      </c>
    </row>
    <row r="23" spans="2:3" x14ac:dyDescent="0.25">
      <c r="B23" s="52"/>
      <c r="C23" s="54" t="s">
        <v>1925</v>
      </c>
    </row>
    <row r="24" spans="2:3" ht="30" x14ac:dyDescent="0.25">
      <c r="B24" s="52"/>
      <c r="C24" s="54" t="s">
        <v>1241</v>
      </c>
    </row>
    <row r="25" spans="2:3" ht="30" x14ac:dyDescent="0.25">
      <c r="B25" s="52"/>
      <c r="C25" s="54" t="s">
        <v>1242</v>
      </c>
    </row>
    <row r="26" spans="2:3" ht="15.75" thickBot="1" x14ac:dyDescent="0.3">
      <c r="B26" s="124"/>
      <c r="C26" s="125"/>
    </row>
  </sheetData>
  <sheetProtection formatCells="0" formatColumns="0" formatRows="0" insertColumns="0" insertRows="0" insertHyperlinks="0" deleteColumns="0" deleteRows="0" sort="0" autoFilter="0" pivotTables="0"/>
  <mergeCells count="3">
    <mergeCell ref="B1:C1"/>
    <mergeCell ref="B2:C2"/>
    <mergeCell ref="B10:C1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7"/>
  <sheetViews>
    <sheetView zoomScale="84" zoomScaleNormal="84" workbookViewId="0">
      <selection activeCell="A2" sqref="A2"/>
    </sheetView>
  </sheetViews>
  <sheetFormatPr defaultColWidth="9.28515625" defaultRowHeight="12.75" x14ac:dyDescent="0.2"/>
  <cols>
    <col min="1" max="1" width="200.7109375" style="9" customWidth="1"/>
    <col min="2" max="16384" width="9.28515625" style="2"/>
  </cols>
  <sheetData>
    <row r="1" spans="1:1" ht="24" customHeight="1" x14ac:dyDescent="0.2">
      <c r="A1" s="1" t="s">
        <v>0</v>
      </c>
    </row>
    <row r="2" spans="1:1" s="4" customFormat="1" ht="162.6" customHeight="1" x14ac:dyDescent="0.25">
      <c r="A2" s="3" t="s">
        <v>1</v>
      </c>
    </row>
    <row r="3" spans="1:1" s="5" customFormat="1" ht="127.15" customHeight="1" x14ac:dyDescent="0.2">
      <c r="A3" s="3" t="s">
        <v>2</v>
      </c>
    </row>
    <row r="4" spans="1:1" s="7" customFormat="1" ht="173.65" customHeight="1" x14ac:dyDescent="0.2">
      <c r="A4" s="6" t="s">
        <v>3</v>
      </c>
    </row>
    <row r="5" spans="1:1" s="8" customFormat="1" ht="67.900000000000006" customHeight="1" x14ac:dyDescent="0.2">
      <c r="A5" s="3" t="s">
        <v>4</v>
      </c>
    </row>
    <row r="6" spans="1:1" ht="30.75" x14ac:dyDescent="0.2">
      <c r="A6" s="3" t="s">
        <v>5</v>
      </c>
    </row>
    <row r="7" spans="1:1" ht="15.75" x14ac:dyDescent="0.2">
      <c r="A7" s="3" t="s">
        <v>1026</v>
      </c>
    </row>
  </sheetData>
  <sheetProtection password="AEA2" sheet="1"/>
  <pageMargins left="1" right="1"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2:A4"/>
  <sheetViews>
    <sheetView workbookViewId="0">
      <selection activeCell="A12" sqref="A12"/>
    </sheetView>
  </sheetViews>
  <sheetFormatPr defaultRowHeight="15" x14ac:dyDescent="0.25"/>
  <cols>
    <col min="1" max="1" width="106.7109375" customWidth="1"/>
  </cols>
  <sheetData>
    <row r="2" spans="1:1" ht="124.5" x14ac:dyDescent="0.25">
      <c r="A2" s="3" t="s">
        <v>4</v>
      </c>
    </row>
    <row r="3" spans="1:1" ht="45.75" x14ac:dyDescent="0.25">
      <c r="A3" s="3" t="s">
        <v>5</v>
      </c>
    </row>
    <row r="4" spans="1:1" ht="30.75" x14ac:dyDescent="0.25">
      <c r="A4" s="3" t="s">
        <v>1026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353"/>
  <sheetViews>
    <sheetView zoomScale="190" zoomScaleNormal="190" workbookViewId="0">
      <pane ySplit="1" topLeftCell="A2" activePane="bottomLeft" state="frozen"/>
      <selection pane="bottomLeft" activeCell="C12" sqref="C12"/>
    </sheetView>
  </sheetViews>
  <sheetFormatPr defaultColWidth="9.28515625" defaultRowHeight="12.75" x14ac:dyDescent="0.2"/>
  <cols>
    <col min="1" max="2" width="9.28515625" style="12"/>
    <col min="3" max="3" width="16.42578125" style="14" customWidth="1"/>
    <col min="4" max="4" width="16.7109375" style="12" customWidth="1"/>
    <col min="5" max="5" width="12" style="12" customWidth="1"/>
    <col min="6" max="6" width="15.28515625" style="12" customWidth="1"/>
    <col min="7" max="16384" width="9.28515625" style="12"/>
  </cols>
  <sheetData>
    <row r="1" spans="1:6" s="10" customFormat="1" ht="15" customHeight="1" x14ac:dyDescent="0.2">
      <c r="A1" s="10" t="s">
        <v>6</v>
      </c>
      <c r="B1" s="10" t="s">
        <v>7</v>
      </c>
      <c r="C1" s="11" t="s">
        <v>8</v>
      </c>
      <c r="D1" s="10" t="s">
        <v>9</v>
      </c>
      <c r="E1" s="10" t="s">
        <v>10</v>
      </c>
      <c r="F1" s="10" t="s">
        <v>11</v>
      </c>
    </row>
    <row r="2" spans="1:6" ht="15" customHeight="1" x14ac:dyDescent="0.2">
      <c r="A2" s="12" t="s">
        <v>12</v>
      </c>
      <c r="B2" s="12">
        <v>2</v>
      </c>
      <c r="C2" s="13" t="s">
        <v>1808</v>
      </c>
      <c r="D2" s="14"/>
    </row>
    <row r="3" spans="1:6" ht="15" customHeight="1" x14ac:dyDescent="0.2">
      <c r="A3" s="12" t="s">
        <v>13</v>
      </c>
      <c r="B3" s="12">
        <v>3</v>
      </c>
      <c r="C3" s="13"/>
    </row>
    <row r="4" spans="1:6" ht="15" customHeight="1" x14ac:dyDescent="0.2">
      <c r="A4" s="12" t="s">
        <v>14</v>
      </c>
      <c r="B4" s="12">
        <v>4</v>
      </c>
    </row>
    <row r="5" spans="1:6" ht="15" customHeight="1" x14ac:dyDescent="0.2">
      <c r="A5" s="12" t="s">
        <v>15</v>
      </c>
      <c r="B5" s="12">
        <v>5</v>
      </c>
    </row>
    <row r="6" spans="1:6" ht="15" customHeight="1" x14ac:dyDescent="0.2">
      <c r="A6" s="12" t="s">
        <v>16</v>
      </c>
      <c r="B6" s="12">
        <v>6</v>
      </c>
    </row>
    <row r="7" spans="1:6" ht="15" customHeight="1" x14ac:dyDescent="0.2">
      <c r="A7" s="12" t="s">
        <v>17</v>
      </c>
      <c r="B7" s="12">
        <v>7</v>
      </c>
    </row>
    <row r="8" spans="1:6" ht="15" customHeight="1" x14ac:dyDescent="0.2">
      <c r="A8" s="12" t="s">
        <v>18</v>
      </c>
      <c r="B8" s="12">
        <v>8</v>
      </c>
    </row>
    <row r="9" spans="1:6" ht="15" customHeight="1" x14ac:dyDescent="0.2">
      <c r="A9" s="12" t="s">
        <v>19</v>
      </c>
      <c r="B9" s="12">
        <v>9</v>
      </c>
    </row>
    <row r="10" spans="1:6" ht="15" customHeight="1" x14ac:dyDescent="0.2">
      <c r="A10" s="12" t="s">
        <v>20</v>
      </c>
      <c r="B10" s="12">
        <v>10</v>
      </c>
    </row>
    <row r="11" spans="1:6" ht="15" customHeight="1" x14ac:dyDescent="0.2">
      <c r="A11" s="12" t="s">
        <v>21</v>
      </c>
      <c r="B11" s="12">
        <v>11</v>
      </c>
    </row>
    <row r="12" spans="1:6" ht="15" customHeight="1" x14ac:dyDescent="0.2">
      <c r="A12" s="12" t="s">
        <v>22</v>
      </c>
      <c r="B12" s="12">
        <v>12</v>
      </c>
      <c r="C12" s="158"/>
    </row>
    <row r="13" spans="1:6" ht="15" customHeight="1" x14ac:dyDescent="0.2">
      <c r="A13" s="12" t="s">
        <v>23</v>
      </c>
      <c r="B13" s="12">
        <v>13</v>
      </c>
    </row>
    <row r="14" spans="1:6" ht="15" customHeight="1" x14ac:dyDescent="0.2">
      <c r="A14" s="12" t="s">
        <v>24</v>
      </c>
      <c r="B14" s="12">
        <v>14</v>
      </c>
      <c r="C14" s="14" t="s">
        <v>25</v>
      </c>
    </row>
    <row r="15" spans="1:6" ht="15" customHeight="1" x14ac:dyDescent="0.2">
      <c r="A15" s="12" t="s">
        <v>26</v>
      </c>
      <c r="B15" s="12">
        <v>15</v>
      </c>
    </row>
    <row r="16" spans="1:6" ht="15" customHeight="1" x14ac:dyDescent="0.2">
      <c r="A16" s="12" t="s">
        <v>27</v>
      </c>
      <c r="B16" s="12">
        <v>16</v>
      </c>
    </row>
    <row r="17" spans="1:4" ht="15" customHeight="1" x14ac:dyDescent="0.2">
      <c r="A17" s="12" t="s">
        <v>28</v>
      </c>
      <c r="B17" s="12">
        <v>17</v>
      </c>
    </row>
    <row r="18" spans="1:4" ht="15" customHeight="1" x14ac:dyDescent="0.2">
      <c r="A18" s="12" t="s">
        <v>29</v>
      </c>
      <c r="B18" s="12">
        <v>18</v>
      </c>
    </row>
    <row r="19" spans="1:4" ht="15" customHeight="1" x14ac:dyDescent="0.2">
      <c r="A19" s="12" t="s">
        <v>30</v>
      </c>
      <c r="B19" s="12">
        <v>19</v>
      </c>
    </row>
    <row r="20" spans="1:4" ht="15" customHeight="1" x14ac:dyDescent="0.2">
      <c r="A20" s="12" t="s">
        <v>31</v>
      </c>
      <c r="B20" s="12">
        <v>20</v>
      </c>
    </row>
    <row r="21" spans="1:4" ht="15" customHeight="1" x14ac:dyDescent="0.2">
      <c r="A21" s="12" t="s">
        <v>32</v>
      </c>
      <c r="B21" s="12">
        <v>21</v>
      </c>
    </row>
    <row r="22" spans="1:4" ht="15" customHeight="1" x14ac:dyDescent="0.2">
      <c r="A22" s="12" t="s">
        <v>33</v>
      </c>
      <c r="B22" s="12">
        <v>22</v>
      </c>
    </row>
    <row r="23" spans="1:4" ht="15" customHeight="1" x14ac:dyDescent="0.2">
      <c r="A23" s="12" t="s">
        <v>34</v>
      </c>
      <c r="B23" s="12">
        <v>23</v>
      </c>
    </row>
    <row r="24" spans="1:4" ht="15" customHeight="1" x14ac:dyDescent="0.2">
      <c r="A24" s="12" t="s">
        <v>35</v>
      </c>
      <c r="B24" s="12">
        <v>24</v>
      </c>
    </row>
    <row r="25" spans="1:4" ht="15" customHeight="1" x14ac:dyDescent="0.2">
      <c r="A25" s="12" t="s">
        <v>36</v>
      </c>
      <c r="B25" s="12">
        <v>25</v>
      </c>
    </row>
    <row r="26" spans="1:4" ht="15" customHeight="1" x14ac:dyDescent="0.2">
      <c r="A26" s="12" t="s">
        <v>37</v>
      </c>
      <c r="B26" s="12">
        <v>26</v>
      </c>
      <c r="C26" s="14" t="s">
        <v>38</v>
      </c>
    </row>
    <row r="27" spans="1:4" ht="15" customHeight="1" x14ac:dyDescent="0.2">
      <c r="A27" s="12" t="s">
        <v>39</v>
      </c>
      <c r="B27" s="12">
        <v>27</v>
      </c>
    </row>
    <row r="28" spans="1:4" ht="15" customHeight="1" x14ac:dyDescent="0.2">
      <c r="A28" s="12" t="s">
        <v>40</v>
      </c>
      <c r="B28" s="12">
        <v>28</v>
      </c>
      <c r="C28" s="14" t="s">
        <v>41</v>
      </c>
      <c r="D28" s="14" t="s">
        <v>2078</v>
      </c>
    </row>
    <row r="29" spans="1:4" ht="15" customHeight="1" x14ac:dyDescent="0.2">
      <c r="A29" s="12" t="s">
        <v>42</v>
      </c>
      <c r="B29" s="12">
        <v>29</v>
      </c>
    </row>
    <row r="30" spans="1:4" ht="15" customHeight="1" x14ac:dyDescent="0.2">
      <c r="A30" s="12" t="s">
        <v>43</v>
      </c>
      <c r="B30" s="12">
        <v>30</v>
      </c>
    </row>
    <row r="31" spans="1:4" ht="15" customHeight="1" x14ac:dyDescent="0.2">
      <c r="A31" s="12" t="s">
        <v>44</v>
      </c>
      <c r="B31" s="12">
        <v>31</v>
      </c>
      <c r="C31" s="14" t="s">
        <v>45</v>
      </c>
      <c r="D31" s="14" t="s">
        <v>46</v>
      </c>
    </row>
    <row r="32" spans="1:4" ht="15" customHeight="1" x14ac:dyDescent="0.2">
      <c r="A32" s="12" t="s">
        <v>47</v>
      </c>
      <c r="B32" s="12">
        <v>32</v>
      </c>
      <c r="C32" s="14" t="s">
        <v>48</v>
      </c>
      <c r="D32" s="14" t="s">
        <v>49</v>
      </c>
    </row>
    <row r="33" spans="1:5" ht="15" customHeight="1" x14ac:dyDescent="0.2">
      <c r="A33" s="12" t="s">
        <v>50</v>
      </c>
      <c r="B33" s="12">
        <v>33</v>
      </c>
    </row>
    <row r="34" spans="1:5" ht="15" customHeight="1" x14ac:dyDescent="0.2">
      <c r="A34" s="12" t="s">
        <v>51</v>
      </c>
      <c r="B34" s="12">
        <v>34</v>
      </c>
      <c r="C34" s="14" t="s">
        <v>52</v>
      </c>
      <c r="D34" s="14" t="s">
        <v>53</v>
      </c>
    </row>
    <row r="35" spans="1:5" ht="15" customHeight="1" x14ac:dyDescent="0.2">
      <c r="A35" s="12" t="s">
        <v>54</v>
      </c>
      <c r="B35" s="12">
        <v>35</v>
      </c>
    </row>
    <row r="36" spans="1:5" ht="15" customHeight="1" x14ac:dyDescent="0.2">
      <c r="A36" s="12" t="s">
        <v>55</v>
      </c>
      <c r="B36" s="12">
        <v>36</v>
      </c>
      <c r="C36" s="14" t="s">
        <v>561</v>
      </c>
      <c r="D36" s="14" t="s">
        <v>57</v>
      </c>
    </row>
    <row r="37" spans="1:5" ht="15" customHeight="1" x14ac:dyDescent="0.2">
      <c r="A37" s="12" t="s">
        <v>58</v>
      </c>
      <c r="B37" s="12">
        <v>37</v>
      </c>
      <c r="C37" s="14" t="s">
        <v>549</v>
      </c>
      <c r="D37" s="14" t="s">
        <v>60</v>
      </c>
    </row>
    <row r="38" spans="1:5" ht="15" customHeight="1" x14ac:dyDescent="0.2">
      <c r="A38" s="12" t="s">
        <v>61</v>
      </c>
      <c r="B38" s="12">
        <v>38</v>
      </c>
      <c r="C38" s="14" t="s">
        <v>62</v>
      </c>
    </row>
    <row r="39" spans="1:5" ht="15" customHeight="1" x14ac:dyDescent="0.2">
      <c r="A39" s="12" t="s">
        <v>63</v>
      </c>
      <c r="B39" s="12">
        <v>39</v>
      </c>
    </row>
    <row r="40" spans="1:5" ht="15" customHeight="1" x14ac:dyDescent="0.2">
      <c r="A40" s="12" t="s">
        <v>64</v>
      </c>
      <c r="B40" s="12">
        <v>40</v>
      </c>
    </row>
    <row r="41" spans="1:5" ht="15" customHeight="1" x14ac:dyDescent="0.2">
      <c r="A41" s="12" t="s">
        <v>65</v>
      </c>
      <c r="B41" s="12">
        <v>41</v>
      </c>
    </row>
    <row r="42" spans="1:5" ht="15" customHeight="1" x14ac:dyDescent="0.2">
      <c r="A42" s="12" t="s">
        <v>66</v>
      </c>
      <c r="B42" s="12">
        <v>42</v>
      </c>
    </row>
    <row r="43" spans="1:5" ht="15" customHeight="1" x14ac:dyDescent="0.2">
      <c r="A43" s="12" t="s">
        <v>67</v>
      </c>
      <c r="B43" s="12">
        <v>43</v>
      </c>
      <c r="C43" s="14" t="s">
        <v>68</v>
      </c>
      <c r="D43" s="14" t="s">
        <v>69</v>
      </c>
    </row>
    <row r="44" spans="1:5" ht="15" customHeight="1" x14ac:dyDescent="0.2">
      <c r="A44" s="12" t="s">
        <v>70</v>
      </c>
      <c r="B44" s="12">
        <v>44</v>
      </c>
      <c r="C44" s="14" t="s">
        <v>71</v>
      </c>
      <c r="D44" s="14" t="s">
        <v>72</v>
      </c>
    </row>
    <row r="45" spans="1:5" ht="15" customHeight="1" x14ac:dyDescent="0.2">
      <c r="A45" s="12" t="s">
        <v>73</v>
      </c>
      <c r="B45" s="12">
        <v>45</v>
      </c>
      <c r="C45" s="14" t="s">
        <v>74</v>
      </c>
      <c r="D45" s="14" t="s">
        <v>75</v>
      </c>
    </row>
    <row r="46" spans="1:5" ht="15" customHeight="1" x14ac:dyDescent="0.2">
      <c r="A46" s="12" t="s">
        <v>76</v>
      </c>
      <c r="B46" s="12">
        <v>46</v>
      </c>
      <c r="C46" s="14" t="s">
        <v>77</v>
      </c>
      <c r="D46" s="14" t="s">
        <v>2029</v>
      </c>
    </row>
    <row r="47" spans="1:5" ht="15" customHeight="1" x14ac:dyDescent="0.2">
      <c r="A47" s="12" t="s">
        <v>78</v>
      </c>
      <c r="B47" s="12">
        <v>47</v>
      </c>
      <c r="C47" s="14" t="s">
        <v>79</v>
      </c>
      <c r="D47" s="14" t="s">
        <v>2044</v>
      </c>
      <c r="E47" s="12" t="s">
        <v>80</v>
      </c>
    </row>
    <row r="48" spans="1:5" ht="15" customHeight="1" x14ac:dyDescent="0.2">
      <c r="A48" s="12" t="s">
        <v>81</v>
      </c>
      <c r="B48" s="12">
        <v>48</v>
      </c>
      <c r="C48" s="14" t="s">
        <v>82</v>
      </c>
      <c r="D48" s="14" t="s">
        <v>2045</v>
      </c>
    </row>
    <row r="49" spans="1:9" ht="15" customHeight="1" x14ac:dyDescent="0.2">
      <c r="A49" s="12" t="s">
        <v>83</v>
      </c>
      <c r="B49" s="12">
        <v>49</v>
      </c>
    </row>
    <row r="50" spans="1:9" ht="15" customHeight="1" x14ac:dyDescent="0.25">
      <c r="A50" s="12" t="s">
        <v>84</v>
      </c>
      <c r="B50" s="12">
        <v>50</v>
      </c>
      <c r="C50" s="14" t="s">
        <v>85</v>
      </c>
      <c r="I50"/>
    </row>
    <row r="51" spans="1:9" ht="15" customHeight="1" x14ac:dyDescent="0.2">
      <c r="A51" s="12" t="s">
        <v>86</v>
      </c>
      <c r="B51" s="12">
        <v>51</v>
      </c>
      <c r="C51" s="14" t="s">
        <v>87</v>
      </c>
    </row>
    <row r="52" spans="1:9" ht="15" customHeight="1" x14ac:dyDescent="0.2">
      <c r="A52" s="12" t="s">
        <v>88</v>
      </c>
      <c r="B52" s="12">
        <v>52</v>
      </c>
      <c r="C52" s="14" t="s">
        <v>89</v>
      </c>
      <c r="D52" s="14" t="s">
        <v>90</v>
      </c>
    </row>
    <row r="53" spans="1:9" ht="15" customHeight="1" x14ac:dyDescent="0.2">
      <c r="A53" s="12" t="s">
        <v>91</v>
      </c>
      <c r="B53" s="12">
        <v>53</v>
      </c>
      <c r="C53" s="14" t="s">
        <v>92</v>
      </c>
      <c r="D53" s="14" t="s">
        <v>93</v>
      </c>
    </row>
    <row r="54" spans="1:9" ht="15" customHeight="1" x14ac:dyDescent="0.2">
      <c r="A54" s="12" t="s">
        <v>94</v>
      </c>
      <c r="B54" s="12">
        <v>54</v>
      </c>
      <c r="C54" s="14" t="s">
        <v>95</v>
      </c>
      <c r="D54" s="14" t="s">
        <v>96</v>
      </c>
    </row>
    <row r="55" spans="1:9" ht="15" customHeight="1" x14ac:dyDescent="0.2">
      <c r="A55" s="12" t="s">
        <v>97</v>
      </c>
      <c r="B55" s="12">
        <v>55</v>
      </c>
      <c r="C55" s="14" t="s">
        <v>98</v>
      </c>
      <c r="D55" s="14" t="s">
        <v>99</v>
      </c>
    </row>
    <row r="56" spans="1:9" ht="15" customHeight="1" x14ac:dyDescent="0.2">
      <c r="A56" s="12" t="s">
        <v>100</v>
      </c>
      <c r="B56" s="12">
        <v>56</v>
      </c>
      <c r="C56" s="14" t="s">
        <v>101</v>
      </c>
      <c r="D56" s="14" t="s">
        <v>2005</v>
      </c>
    </row>
    <row r="57" spans="1:9" ht="15" customHeight="1" x14ac:dyDescent="0.2">
      <c r="A57" s="12" t="s">
        <v>102</v>
      </c>
      <c r="B57" s="12">
        <v>57</v>
      </c>
      <c r="C57" s="14" t="s">
        <v>103</v>
      </c>
      <c r="D57" s="14" t="s">
        <v>2006</v>
      </c>
    </row>
    <row r="58" spans="1:9" ht="15" customHeight="1" x14ac:dyDescent="0.2">
      <c r="A58" s="12" t="s">
        <v>104</v>
      </c>
      <c r="B58" s="12">
        <v>58</v>
      </c>
      <c r="C58" s="14" t="s">
        <v>105</v>
      </c>
      <c r="D58" s="14" t="s">
        <v>2030</v>
      </c>
    </row>
    <row r="59" spans="1:9" ht="15" customHeight="1" x14ac:dyDescent="0.2">
      <c r="A59" s="12" t="s">
        <v>106</v>
      </c>
      <c r="B59" s="12">
        <v>59</v>
      </c>
      <c r="C59" s="14" t="s">
        <v>107</v>
      </c>
      <c r="D59" s="14" t="s">
        <v>2190</v>
      </c>
    </row>
    <row r="60" spans="1:9" ht="15" customHeight="1" x14ac:dyDescent="0.2">
      <c r="A60" s="12" t="s">
        <v>108</v>
      </c>
      <c r="B60" s="12">
        <v>60</v>
      </c>
      <c r="C60" s="14" t="s">
        <v>109</v>
      </c>
      <c r="D60" s="14" t="s">
        <v>2209</v>
      </c>
    </row>
    <row r="61" spans="1:9" ht="15" customHeight="1" x14ac:dyDescent="0.2">
      <c r="A61" s="12" t="s">
        <v>110</v>
      </c>
      <c r="B61" s="12">
        <v>61</v>
      </c>
      <c r="C61" s="14" t="s">
        <v>111</v>
      </c>
      <c r="D61" s="14" t="s">
        <v>2210</v>
      </c>
    </row>
    <row r="62" spans="1:9" ht="15" customHeight="1" x14ac:dyDescent="0.2">
      <c r="A62" s="12" t="s">
        <v>112</v>
      </c>
      <c r="B62" s="12">
        <v>62</v>
      </c>
    </row>
    <row r="63" spans="1:9" ht="15" customHeight="1" x14ac:dyDescent="0.2">
      <c r="A63" s="12" t="s">
        <v>113</v>
      </c>
      <c r="B63" s="12">
        <v>63</v>
      </c>
      <c r="C63" s="14" t="s">
        <v>114</v>
      </c>
    </row>
    <row r="64" spans="1:9" ht="15" customHeight="1" x14ac:dyDescent="0.2">
      <c r="A64" s="12" t="s">
        <v>115</v>
      </c>
      <c r="B64" s="12">
        <v>64</v>
      </c>
      <c r="C64" s="14" t="s">
        <v>116</v>
      </c>
      <c r="D64" s="14" t="s">
        <v>1932</v>
      </c>
    </row>
    <row r="65" spans="1:4" ht="15" customHeight="1" x14ac:dyDescent="0.2">
      <c r="A65" s="12" t="s">
        <v>117</v>
      </c>
      <c r="B65" s="12">
        <v>65</v>
      </c>
      <c r="C65" s="14" t="s">
        <v>118</v>
      </c>
      <c r="D65" s="14" t="s">
        <v>1658</v>
      </c>
    </row>
    <row r="66" spans="1:4" ht="15" customHeight="1" x14ac:dyDescent="0.2">
      <c r="A66" s="12" t="s">
        <v>119</v>
      </c>
      <c r="B66" s="12">
        <v>66</v>
      </c>
      <c r="C66" s="14" t="s">
        <v>120</v>
      </c>
      <c r="D66" s="14" t="s">
        <v>1670</v>
      </c>
    </row>
    <row r="67" spans="1:4" ht="15" customHeight="1" x14ac:dyDescent="0.2">
      <c r="A67" s="12" t="s">
        <v>121</v>
      </c>
      <c r="B67" s="12">
        <v>67</v>
      </c>
      <c r="C67" s="14" t="s">
        <v>122</v>
      </c>
      <c r="D67" s="14" t="s">
        <v>1933</v>
      </c>
    </row>
    <row r="68" spans="1:4" ht="15" customHeight="1" x14ac:dyDescent="0.2">
      <c r="A68" s="12" t="s">
        <v>123</v>
      </c>
      <c r="B68" s="12">
        <v>68</v>
      </c>
      <c r="C68" s="14" t="s">
        <v>124</v>
      </c>
      <c r="D68" s="14" t="s">
        <v>1934</v>
      </c>
    </row>
    <row r="69" spans="1:4" ht="15" customHeight="1" x14ac:dyDescent="0.2">
      <c r="A69" s="12" t="s">
        <v>125</v>
      </c>
      <c r="B69" s="12">
        <v>69</v>
      </c>
      <c r="C69" s="14" t="s">
        <v>126</v>
      </c>
      <c r="D69" s="14" t="s">
        <v>2162</v>
      </c>
    </row>
    <row r="70" spans="1:4" ht="15" customHeight="1" x14ac:dyDescent="0.2">
      <c r="A70" s="12" t="s">
        <v>127</v>
      </c>
      <c r="B70" s="12">
        <v>70</v>
      </c>
      <c r="C70" s="14" t="s">
        <v>128</v>
      </c>
      <c r="D70" s="14" t="s">
        <v>2163</v>
      </c>
    </row>
    <row r="71" spans="1:4" ht="15" customHeight="1" x14ac:dyDescent="0.2">
      <c r="A71" s="12" t="s">
        <v>129</v>
      </c>
      <c r="B71" s="12">
        <v>71</v>
      </c>
      <c r="C71" s="14" t="s">
        <v>1935</v>
      </c>
      <c r="D71" s="14" t="s">
        <v>2164</v>
      </c>
    </row>
    <row r="72" spans="1:4" ht="15" customHeight="1" x14ac:dyDescent="0.2">
      <c r="A72" s="12" t="s">
        <v>130</v>
      </c>
      <c r="B72" s="12">
        <v>72</v>
      </c>
      <c r="C72" s="14" t="s">
        <v>132</v>
      </c>
      <c r="D72" s="14" t="s">
        <v>2165</v>
      </c>
    </row>
    <row r="73" spans="1:4" ht="15" customHeight="1" x14ac:dyDescent="0.2">
      <c r="A73" s="12" t="s">
        <v>131</v>
      </c>
      <c r="B73" s="12">
        <v>73</v>
      </c>
      <c r="C73" s="14" t="s">
        <v>132</v>
      </c>
      <c r="D73" s="14" t="s">
        <v>2166</v>
      </c>
    </row>
    <row r="74" spans="1:4" ht="15" customHeight="1" x14ac:dyDescent="0.2">
      <c r="A74" s="12" t="s">
        <v>133</v>
      </c>
      <c r="B74" s="12">
        <v>74</v>
      </c>
      <c r="C74" s="14" t="s">
        <v>134</v>
      </c>
      <c r="D74" s="14" t="s">
        <v>135</v>
      </c>
    </row>
    <row r="75" spans="1:4" ht="15" customHeight="1" x14ac:dyDescent="0.2">
      <c r="A75" s="12" t="s">
        <v>136</v>
      </c>
      <c r="B75" s="12">
        <v>75</v>
      </c>
      <c r="C75" s="14" t="s">
        <v>137</v>
      </c>
    </row>
    <row r="76" spans="1:4" ht="15" customHeight="1" x14ac:dyDescent="0.2">
      <c r="A76" s="12" t="s">
        <v>138</v>
      </c>
      <c r="B76" s="12">
        <v>76</v>
      </c>
      <c r="C76" s="14" t="s">
        <v>1527</v>
      </c>
      <c r="D76" s="14" t="s">
        <v>2160</v>
      </c>
    </row>
    <row r="77" spans="1:4" ht="15" customHeight="1" x14ac:dyDescent="0.2">
      <c r="A77" s="12" t="s">
        <v>139</v>
      </c>
      <c r="B77" s="12">
        <v>77</v>
      </c>
      <c r="C77" s="14" t="s">
        <v>1564</v>
      </c>
      <c r="D77" s="14" t="s">
        <v>2079</v>
      </c>
    </row>
    <row r="78" spans="1:4" ht="15" customHeight="1" x14ac:dyDescent="0.2">
      <c r="A78" s="12" t="s">
        <v>140</v>
      </c>
      <c r="B78" s="12">
        <v>78</v>
      </c>
      <c r="C78" s="14" t="s">
        <v>1596</v>
      </c>
      <c r="D78" s="14" t="s">
        <v>2161</v>
      </c>
    </row>
    <row r="79" spans="1:4" ht="15" customHeight="1" x14ac:dyDescent="0.2">
      <c r="A79" s="12" t="s">
        <v>141</v>
      </c>
      <c r="B79" s="12">
        <v>79</v>
      </c>
      <c r="C79" s="14" t="s">
        <v>1809</v>
      </c>
      <c r="D79" s="14" t="s">
        <v>2167</v>
      </c>
    </row>
    <row r="80" spans="1:4" ht="15" customHeight="1" x14ac:dyDescent="0.2">
      <c r="A80" s="12" t="s">
        <v>142</v>
      </c>
      <c r="B80" s="12">
        <v>80</v>
      </c>
      <c r="C80" s="14" t="s">
        <v>1810</v>
      </c>
      <c r="D80" s="14" t="s">
        <v>2168</v>
      </c>
    </row>
    <row r="81" spans="1:4" ht="15" customHeight="1" x14ac:dyDescent="0.2">
      <c r="A81" s="12" t="s">
        <v>143</v>
      </c>
      <c r="B81" s="12">
        <v>81</v>
      </c>
      <c r="C81" s="14" t="s">
        <v>2102</v>
      </c>
      <c r="D81" s="14" t="s">
        <v>2169</v>
      </c>
    </row>
    <row r="82" spans="1:4" ht="15" customHeight="1" x14ac:dyDescent="0.2">
      <c r="A82" s="12" t="s">
        <v>144</v>
      </c>
      <c r="B82" s="12">
        <v>82</v>
      </c>
      <c r="C82" s="14" t="s">
        <v>2103</v>
      </c>
      <c r="D82" s="14" t="s">
        <v>2171</v>
      </c>
    </row>
    <row r="83" spans="1:4" ht="15" customHeight="1" x14ac:dyDescent="0.2">
      <c r="A83" s="12" t="s">
        <v>145</v>
      </c>
      <c r="B83" s="12">
        <v>83</v>
      </c>
      <c r="C83" s="14" t="s">
        <v>1814</v>
      </c>
      <c r="D83" s="14" t="s">
        <v>2172</v>
      </c>
    </row>
    <row r="84" spans="1:4" ht="15" customHeight="1" x14ac:dyDescent="0.2">
      <c r="A84" s="12" t="s">
        <v>146</v>
      </c>
      <c r="B84" s="12">
        <v>84</v>
      </c>
      <c r="C84" s="14" t="s">
        <v>1815</v>
      </c>
      <c r="D84" s="14" t="s">
        <v>2433</v>
      </c>
    </row>
    <row r="85" spans="1:4" ht="15" customHeight="1" x14ac:dyDescent="0.2">
      <c r="A85" s="12" t="s">
        <v>147</v>
      </c>
      <c r="B85" s="12">
        <v>85</v>
      </c>
      <c r="C85" s="14" t="s">
        <v>1816</v>
      </c>
      <c r="D85" s="14" t="s">
        <v>2434</v>
      </c>
    </row>
    <row r="86" spans="1:4" ht="15" customHeight="1" x14ac:dyDescent="0.2">
      <c r="A86" s="12" t="s">
        <v>148</v>
      </c>
      <c r="B86" s="12">
        <v>86</v>
      </c>
    </row>
    <row r="87" spans="1:4" ht="15" customHeight="1" x14ac:dyDescent="0.2">
      <c r="A87" s="12" t="s">
        <v>149</v>
      </c>
      <c r="B87" s="12">
        <v>87</v>
      </c>
      <c r="C87" s="14" t="s">
        <v>150</v>
      </c>
    </row>
    <row r="88" spans="1:4" ht="15" customHeight="1" x14ac:dyDescent="0.2">
      <c r="A88" s="12" t="s">
        <v>151</v>
      </c>
      <c r="B88" s="12">
        <v>88</v>
      </c>
      <c r="C88" s="14" t="s">
        <v>2104</v>
      </c>
      <c r="D88" s="14" t="s">
        <v>2080</v>
      </c>
    </row>
    <row r="89" spans="1:4" ht="15" customHeight="1" x14ac:dyDescent="0.2">
      <c r="A89" s="12" t="s">
        <v>152</v>
      </c>
      <c r="B89" s="12">
        <v>89</v>
      </c>
      <c r="C89" s="14" t="s">
        <v>2081</v>
      </c>
      <c r="D89" s="14" t="s">
        <v>2082</v>
      </c>
    </row>
    <row r="90" spans="1:4" ht="15" customHeight="1" x14ac:dyDescent="0.2">
      <c r="A90" s="12" t="s">
        <v>153</v>
      </c>
      <c r="B90" s="12">
        <v>90</v>
      </c>
      <c r="C90" s="14" t="s">
        <v>1597</v>
      </c>
      <c r="D90" s="14" t="s">
        <v>1671</v>
      </c>
    </row>
    <row r="91" spans="1:4" ht="15" customHeight="1" x14ac:dyDescent="0.2">
      <c r="A91" s="12" t="s">
        <v>154</v>
      </c>
      <c r="B91" s="12">
        <v>91</v>
      </c>
      <c r="C91" s="14" t="s">
        <v>1630</v>
      </c>
      <c r="D91" s="14" t="s">
        <v>1939</v>
      </c>
    </row>
    <row r="92" spans="1:4" ht="15" customHeight="1" x14ac:dyDescent="0.2">
      <c r="A92" s="12" t="s">
        <v>155</v>
      </c>
      <c r="B92" s="12">
        <v>92</v>
      </c>
      <c r="C92" s="14" t="s">
        <v>1262</v>
      </c>
      <c r="D92" s="14" t="s">
        <v>1941</v>
      </c>
    </row>
    <row r="93" spans="1:4" ht="15" customHeight="1" x14ac:dyDescent="0.2">
      <c r="A93" s="12" t="s">
        <v>156</v>
      </c>
      <c r="B93" s="12">
        <v>93</v>
      </c>
      <c r="C93" s="14" t="s">
        <v>2007</v>
      </c>
      <c r="D93" s="14" t="s">
        <v>2173</v>
      </c>
    </row>
    <row r="94" spans="1:4" ht="15" customHeight="1" x14ac:dyDescent="0.2">
      <c r="A94" s="12" t="s">
        <v>157</v>
      </c>
      <c r="B94" s="12">
        <v>94</v>
      </c>
      <c r="C94" s="14" t="s">
        <v>2031</v>
      </c>
      <c r="D94" s="14" t="s">
        <v>2174</v>
      </c>
    </row>
    <row r="95" spans="1:4" ht="15" customHeight="1" x14ac:dyDescent="0.2">
      <c r="A95" s="12" t="s">
        <v>158</v>
      </c>
      <c r="B95" s="12">
        <v>95</v>
      </c>
      <c r="C95" s="14" t="s">
        <v>1332</v>
      </c>
      <c r="D95" s="14" t="s">
        <v>2191</v>
      </c>
    </row>
    <row r="96" spans="1:4" ht="15" customHeight="1" x14ac:dyDescent="0.2">
      <c r="A96" s="12" t="s">
        <v>159</v>
      </c>
      <c r="B96" s="12">
        <v>96</v>
      </c>
      <c r="C96" s="14" t="s">
        <v>160</v>
      </c>
      <c r="D96" s="14" t="s">
        <v>2211</v>
      </c>
    </row>
    <row r="97" spans="1:4" ht="15" customHeight="1" x14ac:dyDescent="0.2">
      <c r="A97" s="12" t="s">
        <v>161</v>
      </c>
      <c r="B97" s="12">
        <v>97</v>
      </c>
      <c r="C97" s="14" t="s">
        <v>162</v>
      </c>
      <c r="D97" s="14" t="s">
        <v>1942</v>
      </c>
    </row>
    <row r="98" spans="1:4" ht="15" customHeight="1" x14ac:dyDescent="0.2">
      <c r="A98" s="12" t="s">
        <v>163</v>
      </c>
      <c r="B98" s="12">
        <v>98</v>
      </c>
      <c r="C98" s="14" t="s">
        <v>164</v>
      </c>
      <c r="D98" s="14" t="s">
        <v>165</v>
      </c>
    </row>
    <row r="99" spans="1:4" ht="15" customHeight="1" x14ac:dyDescent="0.2">
      <c r="A99" s="12" t="s">
        <v>166</v>
      </c>
      <c r="B99" s="12">
        <v>99</v>
      </c>
      <c r="C99" s="14" t="s">
        <v>167</v>
      </c>
    </row>
    <row r="100" spans="1:4" ht="15" customHeight="1" x14ac:dyDescent="0.2">
      <c r="A100" s="12" t="s">
        <v>168</v>
      </c>
      <c r="B100" s="12">
        <v>100</v>
      </c>
      <c r="C100" s="14" t="s">
        <v>1531</v>
      </c>
      <c r="D100" s="14" t="s">
        <v>2083</v>
      </c>
    </row>
    <row r="101" spans="1:4" ht="15" customHeight="1" x14ac:dyDescent="0.2">
      <c r="A101" s="12" t="s">
        <v>169</v>
      </c>
      <c r="B101" s="12">
        <v>101</v>
      </c>
      <c r="C101" s="14" t="s">
        <v>2105</v>
      </c>
      <c r="D101" s="14" t="s">
        <v>2084</v>
      </c>
    </row>
    <row r="102" spans="1:4" ht="15" customHeight="1" x14ac:dyDescent="0.2">
      <c r="A102" s="12" t="s">
        <v>170</v>
      </c>
      <c r="B102" s="12">
        <v>102</v>
      </c>
      <c r="C102" s="14" t="s">
        <v>1599</v>
      </c>
      <c r="D102" s="14" t="s">
        <v>2085</v>
      </c>
    </row>
    <row r="103" spans="1:4" ht="15" customHeight="1" x14ac:dyDescent="0.2">
      <c r="A103" s="12" t="s">
        <v>171</v>
      </c>
      <c r="B103" s="12">
        <v>103</v>
      </c>
      <c r="C103" s="14" t="s">
        <v>1631</v>
      </c>
      <c r="D103" s="14" t="s">
        <v>1943</v>
      </c>
    </row>
    <row r="104" spans="1:4" ht="15" customHeight="1" x14ac:dyDescent="0.2">
      <c r="A104" s="12" t="s">
        <v>172</v>
      </c>
      <c r="B104" s="12">
        <v>104</v>
      </c>
      <c r="C104" s="14" t="s">
        <v>1300</v>
      </c>
      <c r="D104" s="14" t="s">
        <v>2008</v>
      </c>
    </row>
    <row r="105" spans="1:4" ht="15" customHeight="1" x14ac:dyDescent="0.2">
      <c r="A105" s="12" t="s">
        <v>173</v>
      </c>
      <c r="B105" s="12">
        <v>105</v>
      </c>
      <c r="C105" s="14" t="s">
        <v>1312</v>
      </c>
      <c r="D105" s="14" t="s">
        <v>2175</v>
      </c>
    </row>
    <row r="106" spans="1:4" ht="15" customHeight="1" x14ac:dyDescent="0.2">
      <c r="A106" s="12" t="s">
        <v>174</v>
      </c>
      <c r="B106" s="12">
        <v>106</v>
      </c>
      <c r="C106" s="14" t="s">
        <v>1818</v>
      </c>
      <c r="D106" s="14" t="s">
        <v>2176</v>
      </c>
    </row>
    <row r="107" spans="1:4" ht="15" customHeight="1" x14ac:dyDescent="0.2">
      <c r="A107" s="12" t="s">
        <v>175</v>
      </c>
      <c r="B107" s="12">
        <v>107</v>
      </c>
      <c r="C107" s="14" t="s">
        <v>1263</v>
      </c>
      <c r="D107" s="14" t="s">
        <v>2192</v>
      </c>
    </row>
    <row r="108" spans="1:4" ht="15" customHeight="1" x14ac:dyDescent="0.2">
      <c r="A108" s="12" t="s">
        <v>176</v>
      </c>
      <c r="B108" s="12">
        <v>108</v>
      </c>
      <c r="C108" s="14" t="s">
        <v>1347</v>
      </c>
      <c r="D108" s="14" t="s">
        <v>2193</v>
      </c>
    </row>
    <row r="109" spans="1:4" ht="15" customHeight="1" x14ac:dyDescent="0.2">
      <c r="A109" s="12" t="s">
        <v>177</v>
      </c>
      <c r="B109" s="12">
        <v>109</v>
      </c>
      <c r="C109" s="14" t="s">
        <v>2107</v>
      </c>
      <c r="D109" s="14" t="s">
        <v>2212</v>
      </c>
    </row>
    <row r="110" spans="1:4" ht="15" customHeight="1" x14ac:dyDescent="0.2">
      <c r="A110" s="12" t="s">
        <v>179</v>
      </c>
      <c r="B110" s="12">
        <v>110</v>
      </c>
    </row>
    <row r="111" spans="1:4" ht="15" customHeight="1" x14ac:dyDescent="0.2">
      <c r="A111" s="12" t="s">
        <v>180</v>
      </c>
      <c r="B111" s="12">
        <v>111</v>
      </c>
      <c r="C111" s="14" t="s">
        <v>181</v>
      </c>
    </row>
    <row r="112" spans="1:4" ht="15" customHeight="1" x14ac:dyDescent="0.2">
      <c r="A112" s="12" t="s">
        <v>182</v>
      </c>
      <c r="B112" s="12">
        <v>112</v>
      </c>
      <c r="C112" s="14" t="s">
        <v>1533</v>
      </c>
      <c r="D112" s="14" t="s">
        <v>2086</v>
      </c>
    </row>
    <row r="113" spans="1:4" ht="15" customHeight="1" x14ac:dyDescent="0.2">
      <c r="A113" s="12" t="s">
        <v>183</v>
      </c>
      <c r="B113" s="12">
        <v>113</v>
      </c>
      <c r="C113" s="14" t="s">
        <v>1569</v>
      </c>
      <c r="D113" s="14" t="s">
        <v>2087</v>
      </c>
    </row>
    <row r="114" spans="1:4" ht="15" customHeight="1" x14ac:dyDescent="0.2">
      <c r="A114" s="12" t="s">
        <v>184</v>
      </c>
      <c r="B114" s="12">
        <v>114</v>
      </c>
      <c r="C114" s="14" t="s">
        <v>1601</v>
      </c>
      <c r="D114" s="14" t="s">
        <v>1672</v>
      </c>
    </row>
    <row r="115" spans="1:4" ht="15" customHeight="1" x14ac:dyDescent="0.2">
      <c r="A115" s="12" t="s">
        <v>185</v>
      </c>
      <c r="B115" s="12">
        <v>115</v>
      </c>
      <c r="C115" s="14" t="s">
        <v>1633</v>
      </c>
      <c r="D115" s="14" t="s">
        <v>1944</v>
      </c>
    </row>
    <row r="116" spans="1:4" ht="15" customHeight="1" x14ac:dyDescent="0.2">
      <c r="A116" s="12" t="s">
        <v>186</v>
      </c>
      <c r="B116" s="12">
        <v>116</v>
      </c>
      <c r="C116" s="14" t="s">
        <v>2110</v>
      </c>
      <c r="D116" s="14" t="s">
        <v>2178</v>
      </c>
    </row>
    <row r="117" spans="1:4" ht="15" customHeight="1" x14ac:dyDescent="0.2">
      <c r="A117" s="12" t="s">
        <v>187</v>
      </c>
      <c r="B117" s="12">
        <v>117</v>
      </c>
      <c r="C117" s="14" t="s">
        <v>1313</v>
      </c>
      <c r="D117" s="14" t="s">
        <v>2179</v>
      </c>
    </row>
    <row r="118" spans="1:4" ht="15" customHeight="1" x14ac:dyDescent="0.2">
      <c r="A118" s="12" t="s">
        <v>188</v>
      </c>
      <c r="B118" s="12">
        <v>118</v>
      </c>
      <c r="C118" s="14" t="s">
        <v>1264</v>
      </c>
      <c r="D118" s="14" t="s">
        <v>2180</v>
      </c>
    </row>
    <row r="119" spans="1:4" ht="15" customHeight="1" x14ac:dyDescent="0.2">
      <c r="A119" s="12" t="s">
        <v>189</v>
      </c>
      <c r="B119" s="12">
        <v>119</v>
      </c>
      <c r="C119" s="14" t="s">
        <v>1819</v>
      </c>
      <c r="D119" s="14" t="s">
        <v>2194</v>
      </c>
    </row>
    <row r="120" spans="1:4" ht="15" customHeight="1" x14ac:dyDescent="0.2">
      <c r="A120" s="12" t="s">
        <v>190</v>
      </c>
      <c r="B120" s="12">
        <v>120</v>
      </c>
      <c r="C120" s="14" t="s">
        <v>1820</v>
      </c>
      <c r="D120" s="14" t="s">
        <v>2195</v>
      </c>
    </row>
    <row r="121" spans="1:4" ht="15" customHeight="1" x14ac:dyDescent="0.2">
      <c r="A121" s="12" t="s">
        <v>191</v>
      </c>
      <c r="B121" s="12">
        <v>121</v>
      </c>
      <c r="C121" s="14" t="s">
        <v>1821</v>
      </c>
      <c r="D121" s="14" t="s">
        <v>2181</v>
      </c>
    </row>
    <row r="122" spans="1:4" ht="15" customHeight="1" x14ac:dyDescent="0.2">
      <c r="A122" s="12" t="s">
        <v>192</v>
      </c>
      <c r="B122" s="12">
        <v>122</v>
      </c>
      <c r="C122" s="14" t="s">
        <v>193</v>
      </c>
      <c r="D122" s="14" t="s">
        <v>194</v>
      </c>
    </row>
    <row r="123" spans="1:4" ht="15" customHeight="1" x14ac:dyDescent="0.2">
      <c r="A123" s="12" t="s">
        <v>195</v>
      </c>
      <c r="B123" s="12">
        <v>123</v>
      </c>
      <c r="C123" s="14" t="s">
        <v>196</v>
      </c>
    </row>
    <row r="124" spans="1:4" ht="15" customHeight="1" x14ac:dyDescent="0.2">
      <c r="A124" s="12" t="s">
        <v>197</v>
      </c>
      <c r="B124" s="12">
        <v>124</v>
      </c>
      <c r="C124" s="14" t="s">
        <v>1535</v>
      </c>
      <c r="D124" s="14" t="s">
        <v>1946</v>
      </c>
    </row>
    <row r="125" spans="1:4" ht="15" customHeight="1" x14ac:dyDescent="0.2">
      <c r="A125" s="12" t="s">
        <v>198</v>
      </c>
      <c r="B125" s="12">
        <v>125</v>
      </c>
      <c r="C125" s="14" t="s">
        <v>199</v>
      </c>
      <c r="D125" s="14" t="s">
        <v>2088</v>
      </c>
    </row>
    <row r="126" spans="1:4" ht="15" customHeight="1" x14ac:dyDescent="0.2">
      <c r="A126" s="12" t="s">
        <v>200</v>
      </c>
      <c r="B126" s="12">
        <v>126</v>
      </c>
      <c r="C126" s="14" t="s">
        <v>1603</v>
      </c>
      <c r="D126" s="14" t="s">
        <v>2089</v>
      </c>
    </row>
    <row r="127" spans="1:4" ht="15" customHeight="1" x14ac:dyDescent="0.2">
      <c r="A127" s="12" t="s">
        <v>201</v>
      </c>
      <c r="B127" s="12">
        <v>127</v>
      </c>
      <c r="C127" s="14" t="s">
        <v>1634</v>
      </c>
      <c r="D127" s="14" t="s">
        <v>1931</v>
      </c>
    </row>
    <row r="128" spans="1:4" ht="15" customHeight="1" x14ac:dyDescent="0.2">
      <c r="A128" s="12" t="s">
        <v>202</v>
      </c>
      <c r="B128" s="12">
        <v>128</v>
      </c>
      <c r="C128" s="14" t="s">
        <v>2009</v>
      </c>
      <c r="D128" s="14" t="s">
        <v>2188</v>
      </c>
    </row>
    <row r="129" spans="1:4" ht="15" customHeight="1" x14ac:dyDescent="0.2">
      <c r="A129" s="12" t="s">
        <v>203</v>
      </c>
      <c r="B129" s="12">
        <v>129</v>
      </c>
      <c r="C129" s="14" t="s">
        <v>2010</v>
      </c>
      <c r="D129" s="14" t="s">
        <v>2011</v>
      </c>
    </row>
    <row r="130" spans="1:4" ht="15" customHeight="1" x14ac:dyDescent="0.2">
      <c r="A130" s="12" t="s">
        <v>204</v>
      </c>
      <c r="B130" s="12">
        <v>130</v>
      </c>
      <c r="C130" s="14" t="s">
        <v>2112</v>
      </c>
      <c r="D130" s="14" t="s">
        <v>2113</v>
      </c>
    </row>
    <row r="131" spans="1:4" ht="15" customHeight="1" x14ac:dyDescent="0.2">
      <c r="A131" s="12" t="s">
        <v>206</v>
      </c>
      <c r="B131" s="12">
        <v>131</v>
      </c>
      <c r="C131" s="14" t="s">
        <v>1265</v>
      </c>
      <c r="D131" s="14" t="s">
        <v>1948</v>
      </c>
    </row>
    <row r="132" spans="1:4" ht="15" customHeight="1" x14ac:dyDescent="0.2">
      <c r="A132" s="12" t="s">
        <v>207</v>
      </c>
      <c r="B132" s="12">
        <v>132</v>
      </c>
      <c r="C132" s="14" t="s">
        <v>208</v>
      </c>
      <c r="D132" s="14" t="s">
        <v>2266</v>
      </c>
    </row>
    <row r="133" spans="1:4" ht="15" customHeight="1" x14ac:dyDescent="0.2">
      <c r="A133" s="12" t="s">
        <v>209</v>
      </c>
      <c r="B133" s="12">
        <v>133</v>
      </c>
      <c r="C133" s="14" t="s">
        <v>210</v>
      </c>
      <c r="D133" s="14" t="s">
        <v>2213</v>
      </c>
    </row>
    <row r="134" spans="1:4" ht="15" customHeight="1" x14ac:dyDescent="0.2">
      <c r="A134" s="12" t="s">
        <v>211</v>
      </c>
      <c r="B134" s="12">
        <v>134</v>
      </c>
    </row>
    <row r="135" spans="1:4" ht="15" customHeight="1" x14ac:dyDescent="0.2">
      <c r="A135" s="12" t="s">
        <v>212</v>
      </c>
      <c r="B135" s="12">
        <v>135</v>
      </c>
      <c r="C135" s="14" t="s">
        <v>213</v>
      </c>
    </row>
    <row r="136" spans="1:4" ht="15" customHeight="1" x14ac:dyDescent="0.2">
      <c r="A136" s="12" t="s">
        <v>214</v>
      </c>
      <c r="B136" s="12">
        <v>136</v>
      </c>
      <c r="C136" s="14" t="s">
        <v>1537</v>
      </c>
      <c r="D136" s="14" t="s">
        <v>2090</v>
      </c>
    </row>
    <row r="137" spans="1:4" ht="15" customHeight="1" x14ac:dyDescent="0.2">
      <c r="A137" s="12" t="s">
        <v>215</v>
      </c>
      <c r="B137" s="12">
        <v>137</v>
      </c>
      <c r="C137" s="14" t="s">
        <v>1571</v>
      </c>
      <c r="D137" s="14" t="s">
        <v>2091</v>
      </c>
    </row>
    <row r="138" spans="1:4" ht="15" customHeight="1" x14ac:dyDescent="0.2">
      <c r="A138" s="12" t="s">
        <v>216</v>
      </c>
      <c r="B138" s="12">
        <v>138</v>
      </c>
      <c r="C138" s="14" t="s">
        <v>1605</v>
      </c>
      <c r="D138" s="14" t="s">
        <v>1673</v>
      </c>
    </row>
    <row r="139" spans="1:4" ht="15" customHeight="1" x14ac:dyDescent="0.2">
      <c r="A139" s="12" t="s">
        <v>217</v>
      </c>
      <c r="B139" s="12">
        <v>139</v>
      </c>
      <c r="C139" s="14" t="s">
        <v>1636</v>
      </c>
      <c r="D139" s="14" t="s">
        <v>1950</v>
      </c>
    </row>
    <row r="140" spans="1:4" ht="15" customHeight="1" x14ac:dyDescent="0.2">
      <c r="A140" s="12" t="s">
        <v>218</v>
      </c>
      <c r="B140" s="12">
        <v>140</v>
      </c>
      <c r="C140" s="14" t="s">
        <v>1301</v>
      </c>
      <c r="D140" s="14" t="s">
        <v>2182</v>
      </c>
    </row>
    <row r="141" spans="1:4" ht="15" customHeight="1" x14ac:dyDescent="0.2">
      <c r="A141" s="12" t="s">
        <v>219</v>
      </c>
      <c r="B141" s="12">
        <v>141</v>
      </c>
      <c r="C141" s="14" t="s">
        <v>1266</v>
      </c>
      <c r="D141" s="14" t="s">
        <v>2183</v>
      </c>
    </row>
    <row r="142" spans="1:4" ht="15" customHeight="1" x14ac:dyDescent="0.2">
      <c r="A142" s="12" t="s">
        <v>220</v>
      </c>
      <c r="B142" s="12">
        <v>142</v>
      </c>
      <c r="C142" s="14" t="s">
        <v>1323</v>
      </c>
      <c r="D142" s="14" t="s">
        <v>2184</v>
      </c>
    </row>
    <row r="143" spans="1:4" ht="15" customHeight="1" x14ac:dyDescent="0.2">
      <c r="A143" s="12" t="s">
        <v>221</v>
      </c>
      <c r="B143" s="12">
        <v>143</v>
      </c>
      <c r="C143" s="14" t="s">
        <v>1333</v>
      </c>
      <c r="D143" s="14" t="s">
        <v>2032</v>
      </c>
    </row>
    <row r="144" spans="1:4" ht="15" customHeight="1" x14ac:dyDescent="0.2">
      <c r="A144" s="12" t="s">
        <v>222</v>
      </c>
      <c r="B144" s="12">
        <v>144</v>
      </c>
      <c r="C144" s="14" t="s">
        <v>1348</v>
      </c>
      <c r="D144" s="14" t="s">
        <v>2196</v>
      </c>
    </row>
    <row r="145" spans="1:4" ht="15" customHeight="1" x14ac:dyDescent="0.2">
      <c r="A145" s="12" t="s">
        <v>223</v>
      </c>
      <c r="B145" s="12">
        <v>145</v>
      </c>
      <c r="C145" s="14" t="s">
        <v>224</v>
      </c>
      <c r="D145" s="14" t="s">
        <v>2214</v>
      </c>
    </row>
    <row r="146" spans="1:4" ht="15" customHeight="1" x14ac:dyDescent="0.2">
      <c r="A146" s="12" t="s">
        <v>225</v>
      </c>
      <c r="B146" s="12">
        <v>146</v>
      </c>
    </row>
    <row r="147" spans="1:4" ht="15" customHeight="1" x14ac:dyDescent="0.2">
      <c r="A147" s="12" t="s">
        <v>226</v>
      </c>
      <c r="B147" s="12">
        <v>147</v>
      </c>
      <c r="C147" s="14" t="s">
        <v>227</v>
      </c>
    </row>
    <row r="148" spans="1:4" ht="15" customHeight="1" x14ac:dyDescent="0.2">
      <c r="A148" s="12" t="s">
        <v>228</v>
      </c>
      <c r="B148" s="12">
        <v>148</v>
      </c>
      <c r="C148" s="14" t="s">
        <v>1538</v>
      </c>
      <c r="D148" s="14" t="s">
        <v>2092</v>
      </c>
    </row>
    <row r="149" spans="1:4" ht="15" customHeight="1" x14ac:dyDescent="0.2">
      <c r="A149" s="12" t="s">
        <v>229</v>
      </c>
      <c r="B149" s="12">
        <v>149</v>
      </c>
      <c r="C149" s="14" t="s">
        <v>1573</v>
      </c>
      <c r="D149" s="14" t="s">
        <v>2093</v>
      </c>
    </row>
    <row r="150" spans="1:4" ht="15" customHeight="1" x14ac:dyDescent="0.2">
      <c r="A150" s="12" t="s">
        <v>230</v>
      </c>
      <c r="B150" s="12">
        <v>150</v>
      </c>
      <c r="C150" s="14" t="s">
        <v>1607</v>
      </c>
      <c r="D150" s="14" t="s">
        <v>1674</v>
      </c>
    </row>
    <row r="151" spans="1:4" ht="15" customHeight="1" x14ac:dyDescent="0.2">
      <c r="A151" s="12" t="s">
        <v>231</v>
      </c>
      <c r="B151" s="12">
        <v>151</v>
      </c>
      <c r="C151" s="14" t="s">
        <v>2012</v>
      </c>
      <c r="D151" s="14" t="s">
        <v>2185</v>
      </c>
    </row>
    <row r="152" spans="1:4" ht="15" customHeight="1" x14ac:dyDescent="0.2">
      <c r="A152" s="12" t="s">
        <v>232</v>
      </c>
      <c r="B152" s="12">
        <v>152</v>
      </c>
      <c r="C152" s="14" t="s">
        <v>1823</v>
      </c>
      <c r="D152" s="14" t="s">
        <v>2186</v>
      </c>
    </row>
    <row r="153" spans="1:4" ht="15" customHeight="1" x14ac:dyDescent="0.2">
      <c r="A153" s="12" t="s">
        <v>233</v>
      </c>
      <c r="B153" s="12">
        <v>153</v>
      </c>
      <c r="C153" s="14" t="s">
        <v>1824</v>
      </c>
      <c r="D153" s="14" t="s">
        <v>2187</v>
      </c>
    </row>
    <row r="154" spans="1:4" ht="15" customHeight="1" x14ac:dyDescent="0.2">
      <c r="A154" s="12" t="s">
        <v>234</v>
      </c>
      <c r="B154" s="12">
        <v>154</v>
      </c>
      <c r="C154" s="14" t="s">
        <v>1825</v>
      </c>
      <c r="D154" s="14" t="s">
        <v>2189</v>
      </c>
    </row>
    <row r="155" spans="1:4" ht="15" customHeight="1" x14ac:dyDescent="0.2">
      <c r="A155" s="12" t="s">
        <v>235</v>
      </c>
      <c r="B155" s="12">
        <v>155</v>
      </c>
      <c r="C155" s="14" t="s">
        <v>1826</v>
      </c>
      <c r="D155" s="14" t="s">
        <v>2230</v>
      </c>
    </row>
    <row r="156" spans="1:4" ht="15" customHeight="1" x14ac:dyDescent="0.2">
      <c r="A156" s="12" t="s">
        <v>236</v>
      </c>
      <c r="B156" s="12">
        <v>156</v>
      </c>
      <c r="C156" s="14" t="s">
        <v>1827</v>
      </c>
      <c r="D156" s="14" t="s">
        <v>2231</v>
      </c>
    </row>
    <row r="157" spans="1:4" ht="15" customHeight="1" x14ac:dyDescent="0.2">
      <c r="A157" s="12" t="s">
        <v>237</v>
      </c>
      <c r="B157" s="12">
        <v>157</v>
      </c>
      <c r="C157" s="14" t="s">
        <v>238</v>
      </c>
      <c r="D157" s="14" t="s">
        <v>1951</v>
      </c>
    </row>
    <row r="158" spans="1:4" ht="15" customHeight="1" x14ac:dyDescent="0.2">
      <c r="A158" s="12" t="s">
        <v>239</v>
      </c>
      <c r="B158" s="12">
        <v>158</v>
      </c>
      <c r="C158" s="14" t="s">
        <v>2116</v>
      </c>
      <c r="D158" s="14" t="s">
        <v>241</v>
      </c>
    </row>
    <row r="159" spans="1:4" ht="15" customHeight="1" x14ac:dyDescent="0.2">
      <c r="A159" s="12" t="s">
        <v>242</v>
      </c>
      <c r="B159" s="12">
        <v>159</v>
      </c>
      <c r="C159" s="14" t="s">
        <v>243</v>
      </c>
    </row>
    <row r="160" spans="1:4" ht="15" customHeight="1" x14ac:dyDescent="0.2">
      <c r="A160" s="12" t="s">
        <v>244</v>
      </c>
      <c r="B160" s="12">
        <v>160</v>
      </c>
      <c r="C160" s="14" t="s">
        <v>1539</v>
      </c>
      <c r="D160" s="14" t="s">
        <v>1952</v>
      </c>
    </row>
    <row r="161" spans="1:4" ht="15" customHeight="1" x14ac:dyDescent="0.2">
      <c r="A161" s="12" t="s">
        <v>245</v>
      </c>
      <c r="B161" s="12">
        <v>161</v>
      </c>
      <c r="C161" s="14" t="s">
        <v>1574</v>
      </c>
      <c r="D161" s="14" t="s">
        <v>1659</v>
      </c>
    </row>
    <row r="162" spans="1:4" ht="15" customHeight="1" x14ac:dyDescent="0.2">
      <c r="A162" s="12" t="s">
        <v>246</v>
      </c>
      <c r="B162" s="12">
        <v>162</v>
      </c>
      <c r="C162" s="14" t="s">
        <v>1608</v>
      </c>
      <c r="D162" s="14" t="s">
        <v>1675</v>
      </c>
    </row>
    <row r="163" spans="1:4" ht="15" customHeight="1" x14ac:dyDescent="0.2">
      <c r="A163" s="12" t="s">
        <v>247</v>
      </c>
      <c r="B163" s="12">
        <v>163</v>
      </c>
      <c r="C163" s="14" t="s">
        <v>1638</v>
      </c>
      <c r="D163" s="14" t="s">
        <v>1954</v>
      </c>
    </row>
    <row r="164" spans="1:4" ht="15" customHeight="1" x14ac:dyDescent="0.2">
      <c r="A164" s="12" t="s">
        <v>248</v>
      </c>
      <c r="B164" s="12">
        <v>164</v>
      </c>
      <c r="C164" s="14" t="s">
        <v>1302</v>
      </c>
      <c r="D164" s="14" t="s">
        <v>2013</v>
      </c>
    </row>
    <row r="165" spans="1:4" ht="15" customHeight="1" x14ac:dyDescent="0.2">
      <c r="A165" s="12" t="s">
        <v>249</v>
      </c>
      <c r="B165" s="12">
        <v>165</v>
      </c>
      <c r="C165" s="14" t="s">
        <v>1315</v>
      </c>
      <c r="D165" s="14" t="s">
        <v>2014</v>
      </c>
    </row>
    <row r="166" spans="1:4" ht="15" customHeight="1" x14ac:dyDescent="0.2">
      <c r="A166" s="12" t="s">
        <v>250</v>
      </c>
      <c r="B166" s="12">
        <v>166</v>
      </c>
      <c r="C166" s="14" t="s">
        <v>251</v>
      </c>
      <c r="D166" s="14" t="s">
        <v>2033</v>
      </c>
    </row>
    <row r="167" spans="1:4" ht="15" customHeight="1" x14ac:dyDescent="0.2">
      <c r="A167" s="12" t="s">
        <v>252</v>
      </c>
      <c r="B167" s="12">
        <v>167</v>
      </c>
      <c r="C167" s="14" t="s">
        <v>1334</v>
      </c>
      <c r="D167" s="14" t="s">
        <v>2197</v>
      </c>
    </row>
    <row r="168" spans="1:4" ht="15" customHeight="1" x14ac:dyDescent="0.2">
      <c r="A168" s="12" t="s">
        <v>253</v>
      </c>
      <c r="B168" s="12">
        <v>168</v>
      </c>
      <c r="C168" s="14" t="s">
        <v>254</v>
      </c>
      <c r="D168" s="14" t="s">
        <v>2198</v>
      </c>
    </row>
    <row r="169" spans="1:4" ht="15" customHeight="1" x14ac:dyDescent="0.2">
      <c r="A169" s="12" t="s">
        <v>255</v>
      </c>
      <c r="B169" s="12">
        <v>169</v>
      </c>
      <c r="C169" s="14" t="s">
        <v>1267</v>
      </c>
      <c r="D169" s="14" t="s">
        <v>2215</v>
      </c>
    </row>
    <row r="170" spans="1:4" ht="15" customHeight="1" x14ac:dyDescent="0.2">
      <c r="A170" s="12" t="s">
        <v>256</v>
      </c>
      <c r="B170" s="12">
        <v>170</v>
      </c>
    </row>
    <row r="171" spans="1:4" ht="15" customHeight="1" x14ac:dyDescent="0.2">
      <c r="A171" s="12" t="s">
        <v>257</v>
      </c>
      <c r="B171" s="12">
        <v>171</v>
      </c>
      <c r="C171" s="14" t="s">
        <v>258</v>
      </c>
    </row>
    <row r="172" spans="1:4" ht="15" customHeight="1" x14ac:dyDescent="0.2">
      <c r="A172" s="12" t="s">
        <v>259</v>
      </c>
      <c r="B172" s="12">
        <v>172</v>
      </c>
      <c r="C172" s="14" t="s">
        <v>1540</v>
      </c>
      <c r="D172" s="14" t="s">
        <v>1956</v>
      </c>
    </row>
    <row r="173" spans="1:4" ht="15" customHeight="1" x14ac:dyDescent="0.2">
      <c r="A173" s="12" t="s">
        <v>260</v>
      </c>
      <c r="B173" s="12">
        <v>173</v>
      </c>
      <c r="C173" s="14" t="s">
        <v>1576</v>
      </c>
      <c r="D173" s="14" t="s">
        <v>1660</v>
      </c>
    </row>
    <row r="174" spans="1:4" ht="15" customHeight="1" x14ac:dyDescent="0.2">
      <c r="A174" s="12" t="s">
        <v>261</v>
      </c>
      <c r="B174" s="12">
        <v>174</v>
      </c>
      <c r="C174" s="14" t="s">
        <v>1610</v>
      </c>
      <c r="D174" s="14" t="s">
        <v>1676</v>
      </c>
    </row>
    <row r="175" spans="1:4" ht="15" customHeight="1" x14ac:dyDescent="0.2">
      <c r="A175" s="12" t="s">
        <v>262</v>
      </c>
      <c r="B175" s="12">
        <v>175</v>
      </c>
      <c r="C175" s="14" t="s">
        <v>1828</v>
      </c>
      <c r="D175" s="14" t="s">
        <v>1927</v>
      </c>
    </row>
    <row r="176" spans="1:4" ht="15" customHeight="1" x14ac:dyDescent="0.2">
      <c r="A176" s="12" t="s">
        <v>263</v>
      </c>
      <c r="B176" s="12">
        <v>176</v>
      </c>
      <c r="C176" s="14" t="s">
        <v>1829</v>
      </c>
      <c r="D176" s="14" t="s">
        <v>2232</v>
      </c>
    </row>
    <row r="177" spans="1:4" ht="15" customHeight="1" x14ac:dyDescent="0.2">
      <c r="A177" s="12" t="s">
        <v>264</v>
      </c>
      <c r="B177" s="12">
        <v>177</v>
      </c>
      <c r="C177" s="14" t="s">
        <v>1830</v>
      </c>
      <c r="D177" s="14" t="s">
        <v>2233</v>
      </c>
    </row>
    <row r="178" spans="1:4" ht="15" customHeight="1" x14ac:dyDescent="0.2">
      <c r="A178" s="12" t="s">
        <v>265</v>
      </c>
      <c r="B178" s="12">
        <v>178</v>
      </c>
      <c r="C178" s="14" t="s">
        <v>1831</v>
      </c>
      <c r="D178" s="14" t="s">
        <v>2234</v>
      </c>
    </row>
    <row r="179" spans="1:4" ht="15" customHeight="1" x14ac:dyDescent="0.2">
      <c r="A179" s="12" t="s">
        <v>266</v>
      </c>
      <c r="B179" s="12">
        <v>179</v>
      </c>
      <c r="C179" s="14" t="s">
        <v>1832</v>
      </c>
      <c r="D179" s="14" t="s">
        <v>2235</v>
      </c>
    </row>
    <row r="180" spans="1:4" ht="15" customHeight="1" x14ac:dyDescent="0.2">
      <c r="A180" s="12" t="s">
        <v>267</v>
      </c>
      <c r="B180" s="12">
        <v>180</v>
      </c>
      <c r="C180" s="14" t="s">
        <v>1833</v>
      </c>
      <c r="D180" s="14" t="s">
        <v>2216</v>
      </c>
    </row>
    <row r="181" spans="1:4" ht="15" customHeight="1" x14ac:dyDescent="0.2">
      <c r="A181" s="12" t="s">
        <v>268</v>
      </c>
      <c r="B181" s="12">
        <v>181</v>
      </c>
      <c r="C181" s="14" t="s">
        <v>1834</v>
      </c>
      <c r="D181" s="14" t="s">
        <v>2236</v>
      </c>
    </row>
    <row r="182" spans="1:4" ht="15" customHeight="1" x14ac:dyDescent="0.2">
      <c r="A182" s="12" t="s">
        <v>269</v>
      </c>
      <c r="B182" s="12">
        <v>182</v>
      </c>
    </row>
    <row r="183" spans="1:4" ht="15" customHeight="1" x14ac:dyDescent="0.2">
      <c r="A183" s="12" t="s">
        <v>270</v>
      </c>
      <c r="B183" s="12">
        <v>183</v>
      </c>
      <c r="C183" s="14" t="s">
        <v>271</v>
      </c>
    </row>
    <row r="184" spans="1:4" ht="15" customHeight="1" x14ac:dyDescent="0.2">
      <c r="A184" s="12" t="s">
        <v>272</v>
      </c>
      <c r="B184" s="12">
        <v>184</v>
      </c>
      <c r="C184" s="14" t="s">
        <v>1541</v>
      </c>
      <c r="D184" s="14" t="s">
        <v>1958</v>
      </c>
    </row>
    <row r="185" spans="1:4" ht="15" customHeight="1" x14ac:dyDescent="0.2">
      <c r="A185" s="12" t="s">
        <v>273</v>
      </c>
      <c r="B185" s="12">
        <v>185</v>
      </c>
      <c r="C185" s="14" t="s">
        <v>1578</v>
      </c>
      <c r="D185" s="14" t="s">
        <v>1661</v>
      </c>
    </row>
    <row r="186" spans="1:4" ht="15" customHeight="1" x14ac:dyDescent="0.2">
      <c r="A186" s="12" t="s">
        <v>274</v>
      </c>
      <c r="B186" s="12">
        <v>186</v>
      </c>
      <c r="C186" s="14" t="s">
        <v>1611</v>
      </c>
      <c r="D186" s="14" t="s">
        <v>1677</v>
      </c>
    </row>
    <row r="187" spans="1:4" ht="15" customHeight="1" x14ac:dyDescent="0.2">
      <c r="A187" s="12" t="s">
        <v>275</v>
      </c>
      <c r="B187" s="12">
        <v>187</v>
      </c>
      <c r="C187" s="14" t="s">
        <v>1836</v>
      </c>
      <c r="D187" s="14" t="s">
        <v>1689</v>
      </c>
    </row>
    <row r="188" spans="1:4" ht="15" customHeight="1" x14ac:dyDescent="0.2">
      <c r="A188" s="12" t="s">
        <v>276</v>
      </c>
      <c r="B188" s="12">
        <v>188</v>
      </c>
      <c r="C188" s="14" t="s">
        <v>1838</v>
      </c>
      <c r="D188" s="14" t="s">
        <v>2237</v>
      </c>
    </row>
    <row r="189" spans="1:4" ht="15" customHeight="1" x14ac:dyDescent="0.2">
      <c r="A189" s="12" t="s">
        <v>277</v>
      </c>
      <c r="B189" s="12">
        <v>189</v>
      </c>
      <c r="C189" s="14" t="s">
        <v>2117</v>
      </c>
      <c r="D189" s="14" t="s">
        <v>2238</v>
      </c>
    </row>
    <row r="190" spans="1:4" ht="15" customHeight="1" x14ac:dyDescent="0.2">
      <c r="A190" s="12" t="s">
        <v>278</v>
      </c>
      <c r="B190" s="12">
        <v>190</v>
      </c>
      <c r="C190" s="14" t="s">
        <v>2118</v>
      </c>
      <c r="D190" s="14" t="s">
        <v>2240</v>
      </c>
    </row>
    <row r="191" spans="1:4" ht="15" customHeight="1" x14ac:dyDescent="0.2">
      <c r="A191" s="12" t="s">
        <v>279</v>
      </c>
      <c r="B191" s="12">
        <v>191</v>
      </c>
      <c r="C191" s="14" t="s">
        <v>2119</v>
      </c>
      <c r="D191" s="14" t="s">
        <v>2267</v>
      </c>
    </row>
    <row r="192" spans="1:4" ht="15" customHeight="1" x14ac:dyDescent="0.2">
      <c r="A192" s="12" t="s">
        <v>280</v>
      </c>
      <c r="B192" s="12">
        <v>192</v>
      </c>
      <c r="C192" s="14" t="s">
        <v>2120</v>
      </c>
      <c r="D192" s="14" t="s">
        <v>1960</v>
      </c>
    </row>
    <row r="193" spans="1:4" ht="15" customHeight="1" x14ac:dyDescent="0.2">
      <c r="A193" s="12" t="s">
        <v>282</v>
      </c>
      <c r="B193" s="12">
        <v>193</v>
      </c>
      <c r="C193" s="14" t="s">
        <v>2121</v>
      </c>
      <c r="D193" s="14" t="s">
        <v>2241</v>
      </c>
    </row>
    <row r="194" spans="1:4" ht="15" customHeight="1" x14ac:dyDescent="0.2">
      <c r="A194" s="12" t="s">
        <v>283</v>
      </c>
      <c r="B194" s="12">
        <v>194</v>
      </c>
    </row>
    <row r="195" spans="1:4" ht="15" customHeight="1" x14ac:dyDescent="0.2">
      <c r="A195" s="12" t="s">
        <v>284</v>
      </c>
      <c r="B195" s="12">
        <v>195</v>
      </c>
      <c r="C195" s="14" t="s">
        <v>285</v>
      </c>
    </row>
    <row r="196" spans="1:4" ht="15" customHeight="1" x14ac:dyDescent="0.2">
      <c r="A196" s="12" t="s">
        <v>286</v>
      </c>
      <c r="B196" s="12">
        <v>196</v>
      </c>
      <c r="C196" s="14" t="s">
        <v>2124</v>
      </c>
      <c r="D196" s="14" t="s">
        <v>1961</v>
      </c>
    </row>
    <row r="197" spans="1:4" ht="15" customHeight="1" x14ac:dyDescent="0.2">
      <c r="A197" s="12" t="s">
        <v>287</v>
      </c>
      <c r="B197" s="12">
        <v>197</v>
      </c>
      <c r="C197" s="14" t="s">
        <v>1579</v>
      </c>
      <c r="D197" s="14" t="s">
        <v>2158</v>
      </c>
    </row>
    <row r="198" spans="1:4" ht="15" customHeight="1" x14ac:dyDescent="0.2">
      <c r="A198" s="12" t="s">
        <v>288</v>
      </c>
      <c r="B198" s="12">
        <v>198</v>
      </c>
      <c r="C198" s="14" t="s">
        <v>1268</v>
      </c>
      <c r="D198" s="14" t="s">
        <v>2159</v>
      </c>
    </row>
    <row r="199" spans="1:4" ht="15" customHeight="1" x14ac:dyDescent="0.2">
      <c r="A199" s="12" t="s">
        <v>289</v>
      </c>
      <c r="B199" s="12">
        <v>199</v>
      </c>
      <c r="C199" s="14" t="s">
        <v>1640</v>
      </c>
      <c r="D199" s="14" t="s">
        <v>1962</v>
      </c>
    </row>
    <row r="200" spans="1:4" ht="15" customHeight="1" x14ac:dyDescent="0.2">
      <c r="A200" s="12" t="s">
        <v>290</v>
      </c>
      <c r="B200" s="12">
        <v>200</v>
      </c>
      <c r="C200" s="14" t="s">
        <v>2015</v>
      </c>
      <c r="D200" s="14" t="s">
        <v>2242</v>
      </c>
    </row>
    <row r="201" spans="1:4" ht="15" customHeight="1" x14ac:dyDescent="0.2">
      <c r="A201" s="12" t="s">
        <v>291</v>
      </c>
      <c r="B201" s="12">
        <v>201</v>
      </c>
      <c r="C201" s="14" t="s">
        <v>2125</v>
      </c>
      <c r="D201" s="14" t="s">
        <v>2243</v>
      </c>
    </row>
    <row r="202" spans="1:4" ht="15" customHeight="1" x14ac:dyDescent="0.2">
      <c r="A202" s="12" t="s">
        <v>292</v>
      </c>
      <c r="B202" s="12">
        <v>202</v>
      </c>
      <c r="C202" s="14" t="s">
        <v>2034</v>
      </c>
      <c r="D202" s="14" t="s">
        <v>2244</v>
      </c>
    </row>
    <row r="203" spans="1:4" ht="15" customHeight="1" x14ac:dyDescent="0.2">
      <c r="A203" s="12" t="s">
        <v>293</v>
      </c>
      <c r="B203" s="12">
        <v>203</v>
      </c>
      <c r="C203" s="14" t="s">
        <v>1841</v>
      </c>
      <c r="D203" s="14" t="s">
        <v>2246</v>
      </c>
    </row>
    <row r="204" spans="1:4" ht="15" customHeight="1" x14ac:dyDescent="0.2">
      <c r="A204" s="12" t="s">
        <v>294</v>
      </c>
      <c r="B204" s="12">
        <v>204</v>
      </c>
      <c r="C204" s="14" t="s">
        <v>1842</v>
      </c>
      <c r="D204" s="14" t="s">
        <v>2247</v>
      </c>
    </row>
    <row r="205" spans="1:4" ht="15" customHeight="1" x14ac:dyDescent="0.2">
      <c r="A205" s="12" t="s">
        <v>295</v>
      </c>
      <c r="B205" s="12">
        <v>205</v>
      </c>
      <c r="C205" s="14" t="s">
        <v>2126</v>
      </c>
      <c r="D205" s="14" t="s">
        <v>2248</v>
      </c>
    </row>
    <row r="206" spans="1:4" ht="15" customHeight="1" x14ac:dyDescent="0.2">
      <c r="A206" s="12" t="s">
        <v>296</v>
      </c>
      <c r="B206" s="12">
        <v>206</v>
      </c>
      <c r="C206" s="14" t="s">
        <v>297</v>
      </c>
      <c r="D206" s="14" t="s">
        <v>298</v>
      </c>
    </row>
    <row r="207" spans="1:4" ht="15" customHeight="1" x14ac:dyDescent="0.2">
      <c r="A207" s="12" t="s">
        <v>299</v>
      </c>
      <c r="B207" s="12">
        <v>207</v>
      </c>
      <c r="C207" s="14" t="s">
        <v>300</v>
      </c>
    </row>
    <row r="208" spans="1:4" ht="15" customHeight="1" x14ac:dyDescent="0.2">
      <c r="A208" s="12" t="s">
        <v>301</v>
      </c>
      <c r="B208" s="12">
        <v>208</v>
      </c>
      <c r="C208" s="14" t="s">
        <v>1545</v>
      </c>
      <c r="D208" s="14" t="s">
        <v>2094</v>
      </c>
    </row>
    <row r="209" spans="1:4" ht="15" customHeight="1" x14ac:dyDescent="0.2">
      <c r="A209" s="12" t="s">
        <v>302</v>
      </c>
      <c r="B209" s="12">
        <v>209</v>
      </c>
      <c r="C209" s="14" t="s">
        <v>1580</v>
      </c>
      <c r="D209" s="14" t="s">
        <v>2095</v>
      </c>
    </row>
    <row r="210" spans="1:4" ht="15" customHeight="1" x14ac:dyDescent="0.2">
      <c r="A210" s="12" t="s">
        <v>303</v>
      </c>
      <c r="B210" s="12">
        <v>210</v>
      </c>
      <c r="C210" s="14" t="s">
        <v>1613</v>
      </c>
      <c r="D210" s="14" t="s">
        <v>1678</v>
      </c>
    </row>
    <row r="211" spans="1:4" ht="15" customHeight="1" x14ac:dyDescent="0.2">
      <c r="A211" s="12" t="s">
        <v>304</v>
      </c>
      <c r="B211" s="12">
        <v>211</v>
      </c>
      <c r="C211" s="14" t="s">
        <v>1641</v>
      </c>
      <c r="D211" s="14" t="s">
        <v>1965</v>
      </c>
    </row>
    <row r="212" spans="1:4" ht="15" customHeight="1" x14ac:dyDescent="0.2">
      <c r="A212" s="12" t="s">
        <v>305</v>
      </c>
      <c r="B212" s="12">
        <v>212</v>
      </c>
      <c r="C212" s="14" t="s">
        <v>1269</v>
      </c>
      <c r="D212" s="14" t="s">
        <v>2249</v>
      </c>
    </row>
    <row r="213" spans="1:4" ht="15" customHeight="1" x14ac:dyDescent="0.2">
      <c r="A213" s="12" t="s">
        <v>306</v>
      </c>
      <c r="B213" s="12">
        <v>213</v>
      </c>
      <c r="C213" s="14" t="s">
        <v>2127</v>
      </c>
      <c r="D213" s="14" t="s">
        <v>1966</v>
      </c>
    </row>
    <row r="214" spans="1:4" ht="15" customHeight="1" x14ac:dyDescent="0.2">
      <c r="A214" s="12" t="s">
        <v>307</v>
      </c>
      <c r="B214" s="12">
        <v>214</v>
      </c>
      <c r="C214" s="14" t="s">
        <v>1271</v>
      </c>
      <c r="D214" s="14" t="s">
        <v>2035</v>
      </c>
    </row>
    <row r="215" spans="1:4" ht="15" customHeight="1" x14ac:dyDescent="0.2">
      <c r="A215" s="12" t="s">
        <v>308</v>
      </c>
      <c r="B215" s="12">
        <v>215</v>
      </c>
      <c r="C215" s="14" t="s">
        <v>1272</v>
      </c>
      <c r="D215" s="14" t="s">
        <v>2199</v>
      </c>
    </row>
    <row r="216" spans="1:4" ht="15" customHeight="1" x14ac:dyDescent="0.2">
      <c r="A216" s="12" t="s">
        <v>309</v>
      </c>
      <c r="B216" s="12">
        <v>216</v>
      </c>
      <c r="C216" s="14" t="s">
        <v>1350</v>
      </c>
      <c r="D216" s="14" t="s">
        <v>2217</v>
      </c>
    </row>
    <row r="217" spans="1:4" ht="15" customHeight="1" x14ac:dyDescent="0.2">
      <c r="A217" s="12" t="s">
        <v>310</v>
      </c>
      <c r="B217" s="12">
        <v>217</v>
      </c>
      <c r="C217" s="14" t="s">
        <v>1359</v>
      </c>
      <c r="D217" s="14" t="s">
        <v>2218</v>
      </c>
    </row>
    <row r="218" spans="1:4" ht="15" customHeight="1" x14ac:dyDescent="0.2">
      <c r="A218" s="12" t="s">
        <v>311</v>
      </c>
      <c r="B218" s="12">
        <v>218</v>
      </c>
    </row>
    <row r="219" spans="1:4" ht="15" customHeight="1" x14ac:dyDescent="0.2">
      <c r="A219" s="12" t="s">
        <v>312</v>
      </c>
      <c r="B219" s="12">
        <v>219</v>
      </c>
      <c r="C219" s="14" t="s">
        <v>313</v>
      </c>
    </row>
    <row r="220" spans="1:4" ht="15" customHeight="1" x14ac:dyDescent="0.2">
      <c r="A220" s="12" t="s">
        <v>314</v>
      </c>
      <c r="B220" s="12">
        <v>220</v>
      </c>
      <c r="C220" s="14" t="s">
        <v>1546</v>
      </c>
      <c r="D220" s="14" t="s">
        <v>2096</v>
      </c>
    </row>
    <row r="221" spans="1:4" ht="15" customHeight="1" x14ac:dyDescent="0.2">
      <c r="A221" s="12" t="s">
        <v>315</v>
      </c>
      <c r="B221" s="12">
        <v>221</v>
      </c>
      <c r="C221" s="14" t="s">
        <v>1581</v>
      </c>
      <c r="D221" s="14" t="s">
        <v>2097</v>
      </c>
    </row>
    <row r="222" spans="1:4" ht="15" customHeight="1" x14ac:dyDescent="0.2">
      <c r="A222" s="12" t="s">
        <v>316</v>
      </c>
      <c r="B222" s="12">
        <v>222</v>
      </c>
      <c r="C222" s="14" t="s">
        <v>1615</v>
      </c>
      <c r="D222" s="14" t="s">
        <v>1679</v>
      </c>
    </row>
    <row r="223" spans="1:4" ht="15" customHeight="1" x14ac:dyDescent="0.2">
      <c r="A223" s="12" t="s">
        <v>317</v>
      </c>
      <c r="B223" s="12">
        <v>223</v>
      </c>
      <c r="C223" s="14" t="s">
        <v>2128</v>
      </c>
      <c r="D223" s="14" t="s">
        <v>1967</v>
      </c>
    </row>
    <row r="224" spans="1:4" ht="15" customHeight="1" x14ac:dyDescent="0.2">
      <c r="A224" s="12" t="s">
        <v>318</v>
      </c>
      <c r="B224" s="12">
        <v>224</v>
      </c>
      <c r="C224" s="14" t="s">
        <v>1307</v>
      </c>
      <c r="D224" s="14" t="s">
        <v>2219</v>
      </c>
    </row>
    <row r="225" spans="1:4" ht="15" customHeight="1" x14ac:dyDescent="0.2">
      <c r="A225" s="12" t="s">
        <v>319</v>
      </c>
      <c r="B225" s="12">
        <v>225</v>
      </c>
      <c r="C225" s="14" t="s">
        <v>2016</v>
      </c>
      <c r="D225" s="14" t="s">
        <v>2017</v>
      </c>
    </row>
    <row r="226" spans="1:4" ht="15" customHeight="1" x14ac:dyDescent="0.2">
      <c r="A226" s="12" t="s">
        <v>320</v>
      </c>
      <c r="B226" s="12">
        <v>226</v>
      </c>
      <c r="C226" s="14" t="s">
        <v>2036</v>
      </c>
      <c r="D226" s="14" t="s">
        <v>2250</v>
      </c>
    </row>
    <row r="227" spans="1:4" ht="15" customHeight="1" x14ac:dyDescent="0.2">
      <c r="A227" s="12" t="s">
        <v>321</v>
      </c>
      <c r="B227" s="12">
        <v>227</v>
      </c>
      <c r="C227" s="14" t="s">
        <v>2129</v>
      </c>
      <c r="D227" s="14" t="s">
        <v>2200</v>
      </c>
    </row>
    <row r="228" spans="1:4" ht="15" customHeight="1" x14ac:dyDescent="0.2">
      <c r="A228" s="12" t="s">
        <v>322</v>
      </c>
      <c r="B228" s="12">
        <v>228</v>
      </c>
      <c r="C228" s="14" t="s">
        <v>323</v>
      </c>
      <c r="D228" s="14" t="s">
        <v>2220</v>
      </c>
    </row>
    <row r="229" spans="1:4" ht="15" customHeight="1" x14ac:dyDescent="0.2">
      <c r="A229" s="12" t="s">
        <v>324</v>
      </c>
      <c r="B229" s="12">
        <v>229</v>
      </c>
      <c r="C229" s="14" t="s">
        <v>325</v>
      </c>
      <c r="D229" s="14" t="s">
        <v>1968</v>
      </c>
    </row>
    <row r="230" spans="1:4" ht="15" customHeight="1" x14ac:dyDescent="0.2">
      <c r="A230" s="12" t="s">
        <v>326</v>
      </c>
      <c r="B230" s="12">
        <v>230</v>
      </c>
    </row>
    <row r="231" spans="1:4" ht="15" customHeight="1" x14ac:dyDescent="0.2">
      <c r="A231" s="12" t="s">
        <v>327</v>
      </c>
      <c r="B231" s="12">
        <v>231</v>
      </c>
      <c r="C231" s="14" t="s">
        <v>328</v>
      </c>
    </row>
    <row r="232" spans="1:4" ht="15" customHeight="1" x14ac:dyDescent="0.2">
      <c r="A232" s="12" t="s">
        <v>329</v>
      </c>
      <c r="B232" s="12">
        <v>232</v>
      </c>
      <c r="C232" s="14" t="s">
        <v>1548</v>
      </c>
      <c r="D232" s="14" t="s">
        <v>1969</v>
      </c>
    </row>
    <row r="233" spans="1:4" ht="15" customHeight="1" x14ac:dyDescent="0.2">
      <c r="A233" s="12" t="s">
        <v>330</v>
      </c>
      <c r="B233" s="12">
        <v>233</v>
      </c>
      <c r="C233" s="14" t="s">
        <v>1582</v>
      </c>
      <c r="D233" s="14" t="s">
        <v>1970</v>
      </c>
    </row>
    <row r="234" spans="1:4" ht="15" customHeight="1" x14ac:dyDescent="0.2">
      <c r="A234" s="12" t="s">
        <v>331</v>
      </c>
      <c r="B234" s="12">
        <v>234</v>
      </c>
      <c r="C234" s="14" t="s">
        <v>332</v>
      </c>
      <c r="D234" s="14" t="s">
        <v>1680</v>
      </c>
    </row>
    <row r="235" spans="1:4" ht="15" customHeight="1" x14ac:dyDescent="0.2">
      <c r="A235" s="12" t="s">
        <v>333</v>
      </c>
      <c r="B235" s="12">
        <v>235</v>
      </c>
      <c r="C235" s="14" t="s">
        <v>1645</v>
      </c>
      <c r="D235" s="14" t="s">
        <v>1690</v>
      </c>
    </row>
    <row r="236" spans="1:4" ht="15" customHeight="1" x14ac:dyDescent="0.2">
      <c r="A236" s="12" t="s">
        <v>334</v>
      </c>
      <c r="B236" s="12">
        <v>236</v>
      </c>
      <c r="C236" s="14" t="s">
        <v>335</v>
      </c>
      <c r="D236" s="14" t="s">
        <v>2221</v>
      </c>
    </row>
    <row r="237" spans="1:4" ht="15" customHeight="1" x14ac:dyDescent="0.2">
      <c r="A237" s="12" t="s">
        <v>336</v>
      </c>
      <c r="B237" s="12">
        <v>237</v>
      </c>
      <c r="C237" s="14" t="s">
        <v>2018</v>
      </c>
      <c r="D237" s="14" t="s">
        <v>2037</v>
      </c>
    </row>
    <row r="238" spans="1:4" ht="15" customHeight="1" x14ac:dyDescent="0.2">
      <c r="A238" s="12" t="s">
        <v>338</v>
      </c>
      <c r="B238" s="12">
        <v>238</v>
      </c>
      <c r="C238" s="14" t="s">
        <v>2038</v>
      </c>
      <c r="D238" s="14" t="s">
        <v>2046</v>
      </c>
    </row>
    <row r="239" spans="1:4" ht="15" customHeight="1" x14ac:dyDescent="0.2">
      <c r="A239" s="12" t="s">
        <v>340</v>
      </c>
      <c r="B239" s="12">
        <v>239</v>
      </c>
      <c r="C239" s="14" t="s">
        <v>1843</v>
      </c>
      <c r="D239" s="14" t="s">
        <v>2201</v>
      </c>
    </row>
    <row r="240" spans="1:4" ht="15" customHeight="1" x14ac:dyDescent="0.2">
      <c r="A240" s="12" t="s">
        <v>341</v>
      </c>
      <c r="B240" s="12">
        <v>240</v>
      </c>
      <c r="C240" s="14" t="s">
        <v>1844</v>
      </c>
      <c r="D240" s="14" t="s">
        <v>2202</v>
      </c>
    </row>
    <row r="241" spans="1:4" ht="15" customHeight="1" x14ac:dyDescent="0.2">
      <c r="A241" s="12" t="s">
        <v>342</v>
      </c>
      <c r="B241" s="12">
        <v>241</v>
      </c>
      <c r="C241" s="14" t="s">
        <v>1845</v>
      </c>
      <c r="D241" s="14" t="s">
        <v>2251</v>
      </c>
    </row>
    <row r="242" spans="1:4" ht="15" customHeight="1" x14ac:dyDescent="0.2">
      <c r="A242" s="12" t="s">
        <v>343</v>
      </c>
      <c r="B242" s="12">
        <v>242</v>
      </c>
      <c r="C242" s="14" t="s">
        <v>344</v>
      </c>
      <c r="D242" s="14" t="s">
        <v>345</v>
      </c>
    </row>
    <row r="243" spans="1:4" ht="15" customHeight="1" x14ac:dyDescent="0.2">
      <c r="A243" s="12" t="s">
        <v>346</v>
      </c>
      <c r="B243" s="12">
        <v>243</v>
      </c>
      <c r="C243" s="14" t="s">
        <v>347</v>
      </c>
    </row>
    <row r="244" spans="1:4" ht="15" customHeight="1" x14ac:dyDescent="0.2">
      <c r="A244" s="12" t="s">
        <v>348</v>
      </c>
      <c r="B244" s="12">
        <v>244</v>
      </c>
      <c r="C244" s="14" t="s">
        <v>1550</v>
      </c>
      <c r="D244" s="14" t="s">
        <v>1972</v>
      </c>
    </row>
    <row r="245" spans="1:4" ht="15" customHeight="1" x14ac:dyDescent="0.2">
      <c r="A245" s="12" t="s">
        <v>349</v>
      </c>
      <c r="B245" s="12">
        <v>245</v>
      </c>
      <c r="C245" s="14" t="s">
        <v>1583</v>
      </c>
      <c r="D245" s="14" t="s">
        <v>1662</v>
      </c>
    </row>
    <row r="246" spans="1:4" ht="15" customHeight="1" x14ac:dyDescent="0.2">
      <c r="A246" s="12" t="s">
        <v>350</v>
      </c>
      <c r="B246" s="12">
        <v>246</v>
      </c>
      <c r="C246" s="14" t="s">
        <v>1616</v>
      </c>
      <c r="D246" s="14" t="s">
        <v>1681</v>
      </c>
    </row>
    <row r="247" spans="1:4" ht="15" customHeight="1" x14ac:dyDescent="0.2">
      <c r="A247" s="12" t="s">
        <v>351</v>
      </c>
      <c r="B247" s="12">
        <v>247</v>
      </c>
      <c r="C247" s="14" t="s">
        <v>1646</v>
      </c>
      <c r="D247" s="14" t="s">
        <v>1973</v>
      </c>
    </row>
    <row r="248" spans="1:4" ht="15" customHeight="1" x14ac:dyDescent="0.2">
      <c r="A248" s="12" t="s">
        <v>352</v>
      </c>
      <c r="B248" s="12">
        <v>248</v>
      </c>
      <c r="C248" s="14" t="s">
        <v>1309</v>
      </c>
      <c r="D248" s="14" t="s">
        <v>1974</v>
      </c>
    </row>
    <row r="249" spans="1:4" ht="15" customHeight="1" x14ac:dyDescent="0.2">
      <c r="A249" s="12" t="s">
        <v>353</v>
      </c>
      <c r="B249" s="12">
        <v>249</v>
      </c>
      <c r="C249" s="14" t="s">
        <v>1318</v>
      </c>
      <c r="D249" s="14" t="s">
        <v>2019</v>
      </c>
    </row>
    <row r="250" spans="1:4" ht="15" customHeight="1" x14ac:dyDescent="0.2">
      <c r="A250" s="12" t="s">
        <v>354</v>
      </c>
      <c r="B250" s="12">
        <v>250</v>
      </c>
      <c r="C250" s="14" t="s">
        <v>2130</v>
      </c>
      <c r="D250" s="14" t="s">
        <v>2041</v>
      </c>
    </row>
    <row r="251" spans="1:4" ht="15" customHeight="1" x14ac:dyDescent="0.2">
      <c r="A251" s="12" t="s">
        <v>355</v>
      </c>
      <c r="B251" s="12">
        <v>251</v>
      </c>
      <c r="C251" s="14" t="s">
        <v>1274</v>
      </c>
      <c r="D251" s="14" t="s">
        <v>2042</v>
      </c>
    </row>
    <row r="252" spans="1:4" ht="15" customHeight="1" x14ac:dyDescent="0.2">
      <c r="A252" s="12" t="s">
        <v>356</v>
      </c>
      <c r="B252" s="12">
        <v>252</v>
      </c>
      <c r="C252" s="14" t="s">
        <v>2131</v>
      </c>
      <c r="D252" s="14" t="s">
        <v>2203</v>
      </c>
    </row>
    <row r="253" spans="1:4" ht="15" customHeight="1" x14ac:dyDescent="0.2">
      <c r="A253" s="12" t="s">
        <v>357</v>
      </c>
      <c r="B253" s="12">
        <v>253</v>
      </c>
      <c r="C253" s="14" t="s">
        <v>358</v>
      </c>
      <c r="D253" s="14" t="s">
        <v>2222</v>
      </c>
    </row>
    <row r="254" spans="1:4" ht="15" customHeight="1" x14ac:dyDescent="0.2">
      <c r="A254" s="12" t="s">
        <v>359</v>
      </c>
      <c r="B254" s="12">
        <v>254</v>
      </c>
    </row>
    <row r="255" spans="1:4" ht="15" customHeight="1" x14ac:dyDescent="0.2">
      <c r="A255" s="12" t="s">
        <v>360</v>
      </c>
      <c r="B255" s="12">
        <v>255</v>
      </c>
      <c r="C255" s="14" t="s">
        <v>361</v>
      </c>
    </row>
    <row r="256" spans="1:4" ht="15" customHeight="1" x14ac:dyDescent="0.2">
      <c r="A256" s="12" t="s">
        <v>362</v>
      </c>
      <c r="B256" s="12">
        <v>256</v>
      </c>
      <c r="C256" s="14" t="s">
        <v>1552</v>
      </c>
      <c r="D256" s="14" t="s">
        <v>1976</v>
      </c>
    </row>
    <row r="257" spans="1:4" ht="15" customHeight="1" x14ac:dyDescent="0.2">
      <c r="A257" s="12" t="s">
        <v>363</v>
      </c>
      <c r="B257" s="12">
        <v>257</v>
      </c>
      <c r="C257" s="14" t="s">
        <v>1585</v>
      </c>
      <c r="D257" s="14" t="s">
        <v>1663</v>
      </c>
    </row>
    <row r="258" spans="1:4" ht="15" customHeight="1" x14ac:dyDescent="0.2">
      <c r="A258" s="12" t="s">
        <v>364</v>
      </c>
      <c r="B258" s="12">
        <v>258</v>
      </c>
      <c r="C258" s="14" t="s">
        <v>1618</v>
      </c>
      <c r="D258" s="14" t="s">
        <v>1682</v>
      </c>
    </row>
    <row r="259" spans="1:4" ht="15" customHeight="1" x14ac:dyDescent="0.2">
      <c r="A259" s="12" t="s">
        <v>365</v>
      </c>
      <c r="B259" s="12">
        <v>259</v>
      </c>
      <c r="C259" s="14" t="s">
        <v>1648</v>
      </c>
      <c r="D259" s="14" t="s">
        <v>1691</v>
      </c>
    </row>
    <row r="260" spans="1:4" ht="15" customHeight="1" x14ac:dyDescent="0.2">
      <c r="A260" s="12" t="s">
        <v>366</v>
      </c>
      <c r="B260" s="12">
        <v>260</v>
      </c>
      <c r="C260" s="14" t="s">
        <v>367</v>
      </c>
      <c r="D260" s="14" t="s">
        <v>2020</v>
      </c>
    </row>
    <row r="261" spans="1:4" ht="15" customHeight="1" x14ac:dyDescent="0.2">
      <c r="A261" s="12" t="s">
        <v>368</v>
      </c>
      <c r="B261" s="12">
        <v>261</v>
      </c>
      <c r="C261" s="14" t="s">
        <v>1847</v>
      </c>
      <c r="D261" s="14" t="s">
        <v>2252</v>
      </c>
    </row>
    <row r="262" spans="1:4" ht="15" customHeight="1" x14ac:dyDescent="0.2">
      <c r="A262" s="12" t="s">
        <v>369</v>
      </c>
      <c r="B262" s="12">
        <v>262</v>
      </c>
      <c r="C262" s="14" t="s">
        <v>2132</v>
      </c>
      <c r="D262" s="14" t="s">
        <v>2253</v>
      </c>
    </row>
    <row r="263" spans="1:4" ht="15" customHeight="1" x14ac:dyDescent="0.2">
      <c r="A263" s="12" t="s">
        <v>370</v>
      </c>
      <c r="B263" s="12">
        <v>263</v>
      </c>
      <c r="C263" s="14" t="s">
        <v>2133</v>
      </c>
      <c r="D263" s="14" t="s">
        <v>2255</v>
      </c>
    </row>
    <row r="264" spans="1:4" ht="15" customHeight="1" x14ac:dyDescent="0.2">
      <c r="A264" s="12" t="s">
        <v>371</v>
      </c>
      <c r="B264" s="12">
        <v>264</v>
      </c>
      <c r="C264" s="14" t="s">
        <v>1275</v>
      </c>
      <c r="D264" s="14" t="s">
        <v>2204</v>
      </c>
    </row>
    <row r="265" spans="1:4" ht="15" customHeight="1" x14ac:dyDescent="0.2">
      <c r="A265" s="12" t="s">
        <v>372</v>
      </c>
      <c r="B265" s="12">
        <v>265</v>
      </c>
      <c r="C265" s="14" t="s">
        <v>1276</v>
      </c>
      <c r="D265" s="14" t="s">
        <v>2047</v>
      </c>
    </row>
    <row r="266" spans="1:4" ht="15" customHeight="1" x14ac:dyDescent="0.2">
      <c r="A266" s="12" t="s">
        <v>373</v>
      </c>
      <c r="B266" s="12">
        <v>266</v>
      </c>
    </row>
    <row r="267" spans="1:4" ht="15" customHeight="1" x14ac:dyDescent="0.2">
      <c r="A267" s="12" t="s">
        <v>374</v>
      </c>
      <c r="B267" s="12">
        <v>267</v>
      </c>
      <c r="C267" s="14" t="s">
        <v>375</v>
      </c>
    </row>
    <row r="268" spans="1:4" ht="15" customHeight="1" x14ac:dyDescent="0.2">
      <c r="A268" s="12" t="s">
        <v>376</v>
      </c>
      <c r="B268" s="12">
        <v>268</v>
      </c>
      <c r="C268" s="14" t="s">
        <v>2134</v>
      </c>
      <c r="D268" s="14" t="s">
        <v>1979</v>
      </c>
    </row>
    <row r="269" spans="1:4" ht="15" customHeight="1" x14ac:dyDescent="0.2">
      <c r="A269" s="12" t="s">
        <v>377</v>
      </c>
      <c r="B269" s="12">
        <v>269</v>
      </c>
      <c r="C269" s="14" t="s">
        <v>2135</v>
      </c>
      <c r="D269" s="14" t="s">
        <v>1664</v>
      </c>
    </row>
    <row r="270" spans="1:4" ht="15" customHeight="1" x14ac:dyDescent="0.2">
      <c r="A270" s="12" t="s">
        <v>378</v>
      </c>
      <c r="B270" s="12">
        <v>270</v>
      </c>
      <c r="C270" s="14" t="s">
        <v>2136</v>
      </c>
      <c r="D270" s="14" t="s">
        <v>1683</v>
      </c>
    </row>
    <row r="271" spans="1:4" ht="15" customHeight="1" x14ac:dyDescent="0.2">
      <c r="A271" s="12" t="s">
        <v>379</v>
      </c>
      <c r="B271" s="12">
        <v>271</v>
      </c>
      <c r="C271" s="14" t="s">
        <v>2137</v>
      </c>
      <c r="D271" s="14" t="s">
        <v>2256</v>
      </c>
    </row>
    <row r="272" spans="1:4" ht="15" customHeight="1" x14ac:dyDescent="0.2">
      <c r="A272" s="12" t="s">
        <v>380</v>
      </c>
      <c r="B272" s="12">
        <v>272</v>
      </c>
      <c r="C272" s="14" t="s">
        <v>2257</v>
      </c>
      <c r="D272" s="14" t="s">
        <v>2258</v>
      </c>
    </row>
    <row r="273" spans="1:4" ht="15" customHeight="1" x14ac:dyDescent="0.2">
      <c r="A273" s="12" t="s">
        <v>381</v>
      </c>
      <c r="B273" s="12">
        <v>273</v>
      </c>
      <c r="C273" s="14" t="s">
        <v>2138</v>
      </c>
      <c r="D273" s="14" t="s">
        <v>2259</v>
      </c>
    </row>
    <row r="274" spans="1:4" ht="15" customHeight="1" x14ac:dyDescent="0.2">
      <c r="A274" s="12" t="s">
        <v>382</v>
      </c>
      <c r="B274" s="12">
        <v>274</v>
      </c>
      <c r="C274" s="14" t="s">
        <v>2139</v>
      </c>
      <c r="D274" s="14" t="s">
        <v>2260</v>
      </c>
    </row>
    <row r="275" spans="1:4" ht="15" customHeight="1" x14ac:dyDescent="0.2">
      <c r="A275" s="12" t="s">
        <v>383</v>
      </c>
      <c r="B275" s="12">
        <v>275</v>
      </c>
      <c r="C275" s="14" t="s">
        <v>2144</v>
      </c>
      <c r="D275" s="14" t="s">
        <v>2268</v>
      </c>
    </row>
    <row r="276" spans="1:4" ht="15" customHeight="1" x14ac:dyDescent="0.2">
      <c r="A276" s="12" t="s">
        <v>384</v>
      </c>
      <c r="B276" s="12">
        <v>276</v>
      </c>
      <c r="C276" s="14" t="s">
        <v>1352</v>
      </c>
      <c r="D276" s="14" t="s">
        <v>1980</v>
      </c>
    </row>
    <row r="277" spans="1:4" ht="15" customHeight="1" x14ac:dyDescent="0.2">
      <c r="A277" s="12" t="s">
        <v>385</v>
      </c>
      <c r="B277" s="12">
        <v>277</v>
      </c>
      <c r="C277" s="14" t="s">
        <v>2145</v>
      </c>
      <c r="D277" s="14" t="s">
        <v>2048</v>
      </c>
    </row>
    <row r="278" spans="1:4" ht="15" customHeight="1" x14ac:dyDescent="0.2">
      <c r="A278" s="12" t="s">
        <v>386</v>
      </c>
      <c r="B278" s="12">
        <v>278</v>
      </c>
      <c r="C278" s="14" t="s">
        <v>387</v>
      </c>
      <c r="D278" s="14" t="s">
        <v>388</v>
      </c>
    </row>
    <row r="279" spans="1:4" ht="15" customHeight="1" x14ac:dyDescent="0.2">
      <c r="A279" s="12" t="s">
        <v>389</v>
      </c>
      <c r="B279" s="12">
        <v>279</v>
      </c>
      <c r="C279" s="14" t="s">
        <v>390</v>
      </c>
      <c r="D279" s="12" t="s">
        <v>1693</v>
      </c>
    </row>
    <row r="280" spans="1:4" ht="15" customHeight="1" x14ac:dyDescent="0.2">
      <c r="A280" s="12" t="s">
        <v>391</v>
      </c>
      <c r="B280" s="12">
        <v>280</v>
      </c>
      <c r="C280" s="14" t="s">
        <v>1555</v>
      </c>
      <c r="D280" s="14" t="s">
        <v>1981</v>
      </c>
    </row>
    <row r="281" spans="1:4" ht="15" customHeight="1" x14ac:dyDescent="0.2">
      <c r="A281" s="12" t="s">
        <v>392</v>
      </c>
      <c r="B281" s="12">
        <v>281</v>
      </c>
      <c r="C281" s="14" t="s">
        <v>1588</v>
      </c>
      <c r="D281" s="14" t="s">
        <v>1665</v>
      </c>
    </row>
    <row r="282" spans="1:4" ht="15" customHeight="1" x14ac:dyDescent="0.2">
      <c r="A282" s="12" t="s">
        <v>393</v>
      </c>
      <c r="B282" s="12">
        <v>282</v>
      </c>
      <c r="C282" s="14" t="s">
        <v>2146</v>
      </c>
      <c r="D282" s="14" t="s">
        <v>1684</v>
      </c>
    </row>
    <row r="283" spans="1:4" ht="15" customHeight="1" x14ac:dyDescent="0.2">
      <c r="A283" s="12" t="s">
        <v>394</v>
      </c>
      <c r="B283" s="12">
        <v>283</v>
      </c>
      <c r="C283" s="14" t="s">
        <v>1649</v>
      </c>
      <c r="D283" s="14" t="s">
        <v>1982</v>
      </c>
    </row>
    <row r="284" spans="1:4" ht="15" customHeight="1" x14ac:dyDescent="0.2">
      <c r="A284" s="12" t="s">
        <v>395</v>
      </c>
      <c r="B284" s="12">
        <v>284</v>
      </c>
      <c r="C284" s="14" t="s">
        <v>396</v>
      </c>
      <c r="D284" s="14" t="s">
        <v>2021</v>
      </c>
    </row>
    <row r="285" spans="1:4" ht="15" customHeight="1" x14ac:dyDescent="0.2">
      <c r="A285" s="12" t="s">
        <v>397</v>
      </c>
      <c r="B285" s="12">
        <v>285</v>
      </c>
      <c r="C285" s="14" t="s">
        <v>2022</v>
      </c>
      <c r="D285" s="14" t="s">
        <v>2262</v>
      </c>
    </row>
    <row r="286" spans="1:4" ht="15" customHeight="1" x14ac:dyDescent="0.2">
      <c r="A286" s="12" t="s">
        <v>398</v>
      </c>
      <c r="B286" s="12">
        <v>286</v>
      </c>
      <c r="C286" s="14" t="s">
        <v>2039</v>
      </c>
      <c r="D286" s="14" t="s">
        <v>2263</v>
      </c>
    </row>
    <row r="287" spans="1:4" ht="15" customHeight="1" x14ac:dyDescent="0.2">
      <c r="A287" s="12" t="s">
        <v>399</v>
      </c>
      <c r="B287" s="12">
        <v>287</v>
      </c>
      <c r="C287" s="14" t="s">
        <v>1342</v>
      </c>
      <c r="D287" s="14" t="s">
        <v>2269</v>
      </c>
    </row>
    <row r="288" spans="1:4" ht="15" customHeight="1" x14ac:dyDescent="0.2">
      <c r="A288" s="12" t="s">
        <v>400</v>
      </c>
      <c r="B288" s="12">
        <v>288</v>
      </c>
      <c r="C288" s="14" t="s">
        <v>1278</v>
      </c>
      <c r="D288" s="14" t="s">
        <v>2205</v>
      </c>
    </row>
    <row r="289" spans="1:4" ht="15" customHeight="1" x14ac:dyDescent="0.2">
      <c r="A289" s="12" t="s">
        <v>401</v>
      </c>
      <c r="B289" s="12">
        <v>289</v>
      </c>
      <c r="C289" s="14" t="s">
        <v>1362</v>
      </c>
      <c r="D289" s="14" t="s">
        <v>2043</v>
      </c>
    </row>
    <row r="290" spans="1:4" ht="15" customHeight="1" x14ac:dyDescent="0.2">
      <c r="A290" s="12" t="s">
        <v>402</v>
      </c>
      <c r="B290" s="12">
        <v>290</v>
      </c>
      <c r="C290" s="14" t="s">
        <v>403</v>
      </c>
      <c r="D290" s="12" t="s">
        <v>404</v>
      </c>
    </row>
    <row r="291" spans="1:4" ht="15" customHeight="1" x14ac:dyDescent="0.2">
      <c r="A291" s="12" t="s">
        <v>405</v>
      </c>
      <c r="B291" s="12">
        <v>291</v>
      </c>
      <c r="C291" s="14" t="s">
        <v>406</v>
      </c>
    </row>
    <row r="292" spans="1:4" ht="15" customHeight="1" x14ac:dyDescent="0.2">
      <c r="A292" s="12" t="s">
        <v>407</v>
      </c>
      <c r="B292" s="12">
        <v>292</v>
      </c>
      <c r="C292" s="14" t="s">
        <v>2147</v>
      </c>
      <c r="D292" s="14" t="s">
        <v>1983</v>
      </c>
    </row>
    <row r="293" spans="1:4" ht="15" customHeight="1" x14ac:dyDescent="0.2">
      <c r="A293" s="12" t="s">
        <v>408</v>
      </c>
      <c r="B293" s="12">
        <v>293</v>
      </c>
      <c r="C293" s="14" t="s">
        <v>2148</v>
      </c>
      <c r="D293" s="14" t="s">
        <v>1666</v>
      </c>
    </row>
    <row r="294" spans="1:4" ht="15" customHeight="1" x14ac:dyDescent="0.2">
      <c r="A294" s="12" t="s">
        <v>409</v>
      </c>
      <c r="B294" s="12">
        <v>294</v>
      </c>
      <c r="C294" s="14" t="s">
        <v>2149</v>
      </c>
      <c r="D294" s="14" t="s">
        <v>1685</v>
      </c>
    </row>
    <row r="295" spans="1:4" ht="15" customHeight="1" x14ac:dyDescent="0.2">
      <c r="A295" s="12" t="s">
        <v>410</v>
      </c>
      <c r="B295" s="12">
        <v>295</v>
      </c>
      <c r="C295" s="14" t="s">
        <v>2150</v>
      </c>
      <c r="D295" s="14" t="s">
        <v>1984</v>
      </c>
    </row>
    <row r="296" spans="1:4" ht="15" customHeight="1" x14ac:dyDescent="0.2">
      <c r="A296" s="12" t="s">
        <v>411</v>
      </c>
      <c r="B296" s="12">
        <v>296</v>
      </c>
      <c r="C296" s="14" t="s">
        <v>1310</v>
      </c>
      <c r="D296" s="14" t="s">
        <v>1985</v>
      </c>
    </row>
    <row r="297" spans="1:4" ht="15" customHeight="1" x14ac:dyDescent="0.2">
      <c r="A297" s="12" t="s">
        <v>412</v>
      </c>
      <c r="B297" s="12">
        <v>297</v>
      </c>
      <c r="C297" s="14" t="s">
        <v>2023</v>
      </c>
      <c r="D297" s="14" t="s">
        <v>2024</v>
      </c>
    </row>
    <row r="298" spans="1:4" ht="15" customHeight="1" x14ac:dyDescent="0.2">
      <c r="A298" s="12" t="s">
        <v>413</v>
      </c>
      <c r="B298" s="12">
        <v>298</v>
      </c>
      <c r="C298" s="14" t="s">
        <v>1328</v>
      </c>
      <c r="D298" s="14" t="s">
        <v>2264</v>
      </c>
    </row>
    <row r="299" spans="1:4" ht="15" customHeight="1" x14ac:dyDescent="0.2">
      <c r="A299" s="12" t="s">
        <v>414</v>
      </c>
      <c r="B299" s="12">
        <v>299</v>
      </c>
      <c r="C299" s="14" t="s">
        <v>415</v>
      </c>
      <c r="D299" s="14" t="s">
        <v>2206</v>
      </c>
    </row>
    <row r="300" spans="1:4" ht="15" customHeight="1" x14ac:dyDescent="0.2">
      <c r="A300" s="12" t="s">
        <v>416</v>
      </c>
      <c r="B300" s="12">
        <v>300</v>
      </c>
      <c r="C300" s="14" t="s">
        <v>1354</v>
      </c>
      <c r="D300" s="14" t="s">
        <v>2223</v>
      </c>
    </row>
    <row r="301" spans="1:4" ht="15" customHeight="1" x14ac:dyDescent="0.2">
      <c r="A301" s="12" t="s">
        <v>417</v>
      </c>
      <c r="B301" s="12">
        <v>301</v>
      </c>
      <c r="C301" s="14" t="s">
        <v>1363</v>
      </c>
      <c r="D301" s="14" t="s">
        <v>2224</v>
      </c>
    </row>
    <row r="302" spans="1:4" ht="15" customHeight="1" x14ac:dyDescent="0.2">
      <c r="A302" s="12" t="s">
        <v>418</v>
      </c>
      <c r="B302" s="12">
        <v>302</v>
      </c>
    </row>
    <row r="303" spans="1:4" ht="15" customHeight="1" x14ac:dyDescent="0.2">
      <c r="A303" s="12" t="s">
        <v>419</v>
      </c>
      <c r="B303" s="12">
        <v>303</v>
      </c>
      <c r="C303" s="14" t="s">
        <v>420</v>
      </c>
    </row>
    <row r="304" spans="1:4" ht="15" customHeight="1" x14ac:dyDescent="0.2">
      <c r="A304" s="12" t="s">
        <v>421</v>
      </c>
      <c r="B304" s="12">
        <v>304</v>
      </c>
      <c r="C304" s="14" t="s">
        <v>1559</v>
      </c>
      <c r="D304" s="14" t="s">
        <v>1987</v>
      </c>
    </row>
    <row r="305" spans="1:4" ht="15" customHeight="1" x14ac:dyDescent="0.2">
      <c r="A305" s="12" t="s">
        <v>422</v>
      </c>
      <c r="B305" s="12">
        <v>305</v>
      </c>
      <c r="C305" s="14" t="s">
        <v>1591</v>
      </c>
      <c r="D305" s="14" t="s">
        <v>1667</v>
      </c>
    </row>
    <row r="306" spans="1:4" ht="15" customHeight="1" x14ac:dyDescent="0.2">
      <c r="A306" s="12" t="s">
        <v>423</v>
      </c>
      <c r="B306" s="12">
        <v>306</v>
      </c>
      <c r="C306" s="14" t="s">
        <v>1624</v>
      </c>
      <c r="D306" s="14" t="s">
        <v>1686</v>
      </c>
    </row>
    <row r="307" spans="1:4" ht="15" customHeight="1" x14ac:dyDescent="0.2">
      <c r="A307" s="12" t="s">
        <v>424</v>
      </c>
      <c r="B307" s="12">
        <v>307</v>
      </c>
      <c r="C307" s="14" t="s">
        <v>1653</v>
      </c>
      <c r="D307" s="14" t="s">
        <v>1989</v>
      </c>
    </row>
    <row r="308" spans="1:4" ht="15" customHeight="1" x14ac:dyDescent="0.2">
      <c r="A308" s="12" t="s">
        <v>425</v>
      </c>
      <c r="B308" s="12">
        <v>308</v>
      </c>
      <c r="C308" s="14" t="s">
        <v>1280</v>
      </c>
      <c r="D308" s="14" t="s">
        <v>2025</v>
      </c>
    </row>
    <row r="309" spans="1:4" ht="15" customHeight="1" x14ac:dyDescent="0.2">
      <c r="A309" s="12" t="s">
        <v>426</v>
      </c>
      <c r="B309" s="12">
        <v>309</v>
      </c>
      <c r="C309" s="14" t="s">
        <v>2026</v>
      </c>
      <c r="D309" s="14" t="s">
        <v>2265</v>
      </c>
    </row>
    <row r="310" spans="1:4" ht="15" customHeight="1" x14ac:dyDescent="0.2">
      <c r="A310" s="12" t="s">
        <v>427</v>
      </c>
      <c r="B310" s="12">
        <v>310</v>
      </c>
      <c r="C310" s="14" t="s">
        <v>2040</v>
      </c>
      <c r="D310" s="14" t="s">
        <v>2207</v>
      </c>
    </row>
    <row r="311" spans="1:4" ht="15" customHeight="1" x14ac:dyDescent="0.2">
      <c r="A311" s="12" t="s">
        <v>428</v>
      </c>
      <c r="B311" s="12">
        <v>311</v>
      </c>
      <c r="C311" s="14" t="s">
        <v>1343</v>
      </c>
      <c r="D311" s="14" t="s">
        <v>2225</v>
      </c>
    </row>
    <row r="312" spans="1:4" ht="15" customHeight="1" x14ac:dyDescent="0.2">
      <c r="A312" s="12" t="s">
        <v>429</v>
      </c>
      <c r="B312" s="12">
        <v>312</v>
      </c>
      <c r="C312" s="14" t="s">
        <v>1355</v>
      </c>
      <c r="D312" s="14" t="s">
        <v>2226</v>
      </c>
    </row>
    <row r="313" spans="1:4" ht="15" customHeight="1" x14ac:dyDescent="0.2">
      <c r="A313" s="12" t="s">
        <v>430</v>
      </c>
      <c r="B313" s="12">
        <v>313</v>
      </c>
      <c r="C313" s="14" t="s">
        <v>1282</v>
      </c>
      <c r="D313" s="14" t="s">
        <v>2227</v>
      </c>
    </row>
    <row r="314" spans="1:4" ht="15" customHeight="1" x14ac:dyDescent="0.2">
      <c r="A314" s="12" t="s">
        <v>431</v>
      </c>
      <c r="B314" s="12">
        <v>314</v>
      </c>
      <c r="C314" s="14" t="s">
        <v>432</v>
      </c>
      <c r="D314" s="14" t="s">
        <v>433</v>
      </c>
    </row>
    <row r="315" spans="1:4" ht="15" customHeight="1" x14ac:dyDescent="0.2">
      <c r="A315" s="12" t="s">
        <v>434</v>
      </c>
      <c r="B315" s="12">
        <v>315</v>
      </c>
      <c r="C315" s="14" t="s">
        <v>435</v>
      </c>
    </row>
    <row r="316" spans="1:4" ht="15" customHeight="1" x14ac:dyDescent="0.2">
      <c r="A316" s="12" t="s">
        <v>436</v>
      </c>
      <c r="B316" s="12">
        <v>316</v>
      </c>
      <c r="C316" s="14" t="s">
        <v>1561</v>
      </c>
      <c r="D316" s="14" t="s">
        <v>1991</v>
      </c>
    </row>
    <row r="317" spans="1:4" ht="15" customHeight="1" x14ac:dyDescent="0.2">
      <c r="A317" s="12" t="s">
        <v>437</v>
      </c>
      <c r="B317" s="12">
        <v>317</v>
      </c>
      <c r="C317" s="14" t="s">
        <v>1592</v>
      </c>
      <c r="D317" s="14" t="s">
        <v>1668</v>
      </c>
    </row>
    <row r="318" spans="1:4" ht="15" customHeight="1" x14ac:dyDescent="0.2">
      <c r="A318" s="12" t="s">
        <v>438</v>
      </c>
      <c r="B318" s="12">
        <v>318</v>
      </c>
      <c r="C318" s="14" t="s">
        <v>2151</v>
      </c>
      <c r="D318" s="14" t="s">
        <v>1687</v>
      </c>
    </row>
    <row r="319" spans="1:4" ht="15" customHeight="1" x14ac:dyDescent="0.2">
      <c r="A319" s="12" t="s">
        <v>439</v>
      </c>
      <c r="B319" s="12">
        <v>319</v>
      </c>
      <c r="C319" s="14" t="s">
        <v>1654</v>
      </c>
      <c r="D319" s="14" t="s">
        <v>1993</v>
      </c>
    </row>
    <row r="320" spans="1:4" ht="15" customHeight="1" x14ac:dyDescent="0.2">
      <c r="A320" s="12" t="s">
        <v>440</v>
      </c>
      <c r="B320" s="12">
        <v>320</v>
      </c>
      <c r="C320" s="14" t="s">
        <v>2152</v>
      </c>
      <c r="D320" s="14" t="s">
        <v>2027</v>
      </c>
    </row>
    <row r="321" spans="1:4" ht="15" customHeight="1" x14ac:dyDescent="0.2">
      <c r="A321" s="12" t="s">
        <v>442</v>
      </c>
      <c r="B321" s="12">
        <v>321</v>
      </c>
      <c r="C321" s="14" t="s">
        <v>2153</v>
      </c>
      <c r="D321" s="14" t="s">
        <v>2028</v>
      </c>
    </row>
    <row r="322" spans="1:4" ht="15" customHeight="1" x14ac:dyDescent="0.2">
      <c r="A322" s="12" t="s">
        <v>443</v>
      </c>
      <c r="B322" s="12">
        <v>322</v>
      </c>
      <c r="C322" s="14" t="s">
        <v>1330</v>
      </c>
      <c r="D322" s="14" t="s">
        <v>1995</v>
      </c>
    </row>
    <row r="323" spans="1:4" ht="15" customHeight="1" x14ac:dyDescent="0.2">
      <c r="A323" s="12" t="s">
        <v>444</v>
      </c>
      <c r="B323" s="12">
        <v>323</v>
      </c>
      <c r="C323" s="14" t="s">
        <v>1345</v>
      </c>
      <c r="D323" s="14" t="s">
        <v>2208</v>
      </c>
    </row>
    <row r="324" spans="1:4" ht="15" customHeight="1" x14ac:dyDescent="0.2">
      <c r="A324" s="12" t="s">
        <v>445</v>
      </c>
      <c r="B324" s="12">
        <v>324</v>
      </c>
      <c r="C324" s="14" t="s">
        <v>1357</v>
      </c>
      <c r="D324" s="14" t="s">
        <v>2228</v>
      </c>
    </row>
    <row r="325" spans="1:4" ht="15" customHeight="1" x14ac:dyDescent="0.2">
      <c r="A325" s="12" t="s">
        <v>446</v>
      </c>
      <c r="B325" s="12">
        <v>325</v>
      </c>
      <c r="C325" s="14" t="s">
        <v>1283</v>
      </c>
      <c r="D325" s="14" t="s">
        <v>1996</v>
      </c>
    </row>
    <row r="326" spans="1:4" ht="15" customHeight="1" x14ac:dyDescent="0.2">
      <c r="A326" s="12" t="s">
        <v>447</v>
      </c>
      <c r="B326" s="12">
        <v>326</v>
      </c>
    </row>
    <row r="327" spans="1:4" ht="15" customHeight="1" x14ac:dyDescent="0.2">
      <c r="A327" s="12" t="s">
        <v>448</v>
      </c>
      <c r="B327" s="12">
        <v>327</v>
      </c>
      <c r="C327" s="14" t="s">
        <v>449</v>
      </c>
    </row>
    <row r="328" spans="1:4" ht="15" customHeight="1" x14ac:dyDescent="0.2">
      <c r="A328" s="12" t="s">
        <v>450</v>
      </c>
      <c r="B328" s="12">
        <v>328</v>
      </c>
      <c r="C328" s="14" t="s">
        <v>1562</v>
      </c>
      <c r="D328" s="14" t="s">
        <v>1997</v>
      </c>
    </row>
    <row r="329" spans="1:4" ht="15" customHeight="1" x14ac:dyDescent="0.2">
      <c r="A329" s="12" t="s">
        <v>451</v>
      </c>
      <c r="B329" s="12">
        <v>329</v>
      </c>
      <c r="C329" s="14" t="s">
        <v>1594</v>
      </c>
      <c r="D329" s="14" t="s">
        <v>1669</v>
      </c>
    </row>
    <row r="330" spans="1:4" ht="15" customHeight="1" x14ac:dyDescent="0.2">
      <c r="A330" s="12" t="s">
        <v>452</v>
      </c>
      <c r="B330" s="12">
        <v>330</v>
      </c>
      <c r="C330" s="14" t="s">
        <v>1628</v>
      </c>
      <c r="D330" s="14" t="s">
        <v>1688</v>
      </c>
    </row>
    <row r="331" spans="1:4" ht="15" customHeight="1" x14ac:dyDescent="0.2">
      <c r="A331" s="12" t="s">
        <v>453</v>
      </c>
      <c r="B331" s="12">
        <v>331</v>
      </c>
      <c r="C331" s="14" t="s">
        <v>1656</v>
      </c>
      <c r="D331" s="14" t="s">
        <v>1998</v>
      </c>
    </row>
    <row r="332" spans="1:4" ht="15" customHeight="1" x14ac:dyDescent="0.2">
      <c r="A332" s="12" t="s">
        <v>454</v>
      </c>
      <c r="B332" s="12">
        <v>332</v>
      </c>
      <c r="C332" s="14" t="s">
        <v>1284</v>
      </c>
      <c r="D332" s="14" t="s">
        <v>2270</v>
      </c>
    </row>
    <row r="333" spans="1:4" ht="15" customHeight="1" x14ac:dyDescent="0.2">
      <c r="A333" s="12" t="s">
        <v>455</v>
      </c>
      <c r="B333" s="12">
        <v>333</v>
      </c>
      <c r="C333" s="14" t="s">
        <v>1285</v>
      </c>
      <c r="D333" s="14" t="s">
        <v>1999</v>
      </c>
    </row>
    <row r="334" spans="1:4" ht="15" customHeight="1" x14ac:dyDescent="0.2">
      <c r="A334" s="12" t="s">
        <v>456</v>
      </c>
      <c r="B334" s="12">
        <v>334</v>
      </c>
      <c r="C334" s="14" t="s">
        <v>2154</v>
      </c>
      <c r="D334" s="14" t="s">
        <v>1929</v>
      </c>
    </row>
    <row r="335" spans="1:4" ht="15" customHeight="1" x14ac:dyDescent="0.2">
      <c r="A335" s="12" t="s">
        <v>458</v>
      </c>
      <c r="B335" s="12">
        <v>335</v>
      </c>
      <c r="C335" s="14" t="s">
        <v>2155</v>
      </c>
      <c r="D335" s="14" t="s">
        <v>2271</v>
      </c>
    </row>
    <row r="336" spans="1:4" ht="15" customHeight="1" x14ac:dyDescent="0.2">
      <c r="A336" s="12" t="s">
        <v>460</v>
      </c>
      <c r="B336" s="12">
        <v>336</v>
      </c>
      <c r="C336" s="14" t="s">
        <v>2156</v>
      </c>
      <c r="D336" s="14" t="s">
        <v>2229</v>
      </c>
    </row>
    <row r="337" spans="1:4" ht="15" customHeight="1" x14ac:dyDescent="0.2">
      <c r="A337" s="12" t="s">
        <v>462</v>
      </c>
      <c r="B337" s="12">
        <v>337</v>
      </c>
      <c r="C337" s="14" t="s">
        <v>463</v>
      </c>
      <c r="D337" s="14" t="s">
        <v>1930</v>
      </c>
    </row>
    <row r="338" spans="1:4" ht="15" customHeight="1" x14ac:dyDescent="0.2">
      <c r="A338" s="12" t="s">
        <v>1854</v>
      </c>
      <c r="B338" s="12">
        <v>338</v>
      </c>
      <c r="D338" s="14"/>
    </row>
    <row r="339" spans="1:4" ht="15" customHeight="1" x14ac:dyDescent="0.2">
      <c r="A339" s="12" t="s">
        <v>1852</v>
      </c>
      <c r="B339" s="12">
        <v>339</v>
      </c>
      <c r="C339" s="14" t="s">
        <v>1864</v>
      </c>
      <c r="D339" s="14"/>
    </row>
    <row r="340" spans="1:4" ht="15" customHeight="1" x14ac:dyDescent="0.2">
      <c r="A340" s="12" t="s">
        <v>1853</v>
      </c>
      <c r="B340" s="12">
        <v>340</v>
      </c>
      <c r="D340" s="14"/>
    </row>
    <row r="341" spans="1:4" ht="15" customHeight="1" x14ac:dyDescent="0.2">
      <c r="A341" s="12" t="s">
        <v>1855</v>
      </c>
      <c r="B341" s="12">
        <v>341</v>
      </c>
      <c r="D341" s="14"/>
    </row>
    <row r="342" spans="1:4" ht="15" customHeight="1" x14ac:dyDescent="0.2">
      <c r="A342" s="12" t="s">
        <v>1856</v>
      </c>
      <c r="B342" s="12">
        <v>342</v>
      </c>
      <c r="C342" s="14" t="s">
        <v>2157</v>
      </c>
      <c r="D342" s="14" t="s">
        <v>2051</v>
      </c>
    </row>
    <row r="343" spans="1:4" ht="15" customHeight="1" x14ac:dyDescent="0.2">
      <c r="A343" s="12" t="s">
        <v>1857</v>
      </c>
      <c r="B343" s="12">
        <v>343</v>
      </c>
      <c r="C343" s="14" t="s">
        <v>2052</v>
      </c>
      <c r="D343" s="14" t="s">
        <v>2053</v>
      </c>
    </row>
    <row r="344" spans="1:4" ht="15" customHeight="1" x14ac:dyDescent="0.2">
      <c r="A344" s="12" t="s">
        <v>1858</v>
      </c>
      <c r="B344" s="12">
        <v>344</v>
      </c>
      <c r="C344" s="14" t="s">
        <v>2054</v>
      </c>
      <c r="D344" s="14" t="s">
        <v>2055</v>
      </c>
    </row>
    <row r="345" spans="1:4" ht="15" customHeight="1" x14ac:dyDescent="0.2">
      <c r="A345" s="12" t="s">
        <v>1859</v>
      </c>
      <c r="B345" s="12">
        <v>345</v>
      </c>
      <c r="C345" s="14" t="s">
        <v>2056</v>
      </c>
      <c r="D345" s="14" t="s">
        <v>2057</v>
      </c>
    </row>
    <row r="346" spans="1:4" ht="15" customHeight="1" x14ac:dyDescent="0.2">
      <c r="A346" s="12" t="s">
        <v>1860</v>
      </c>
      <c r="B346" s="12">
        <v>346</v>
      </c>
      <c r="C346" s="14" t="s">
        <v>2058</v>
      </c>
      <c r="D346" s="14" t="s">
        <v>2059</v>
      </c>
    </row>
    <row r="347" spans="1:4" ht="15" customHeight="1" x14ac:dyDescent="0.2">
      <c r="A347" s="12" t="s">
        <v>1861</v>
      </c>
      <c r="B347" s="12">
        <v>347</v>
      </c>
      <c r="C347" s="14" t="s">
        <v>2060</v>
      </c>
      <c r="D347" s="14" t="s">
        <v>2061</v>
      </c>
    </row>
    <row r="348" spans="1:4" ht="15" customHeight="1" x14ac:dyDescent="0.2">
      <c r="A348" s="12" t="s">
        <v>1862</v>
      </c>
      <c r="B348" s="12">
        <v>348</v>
      </c>
      <c r="C348" s="14" t="s">
        <v>2062</v>
      </c>
      <c r="D348" s="14" t="s">
        <v>2063</v>
      </c>
    </row>
    <row r="349" spans="1:4" ht="15" customHeight="1" x14ac:dyDescent="0.2">
      <c r="A349" s="12" t="s">
        <v>1863</v>
      </c>
      <c r="B349" s="12">
        <v>349</v>
      </c>
      <c r="C349" s="14" t="s">
        <v>2064</v>
      </c>
      <c r="D349" s="14" t="s">
        <v>2065</v>
      </c>
    </row>
    <row r="350" spans="1:4" ht="15" customHeight="1" x14ac:dyDescent="0.2">
      <c r="A350" s="15" t="s">
        <v>464</v>
      </c>
      <c r="B350" s="12">
        <v>350</v>
      </c>
      <c r="D350" s="14" t="s">
        <v>2098</v>
      </c>
    </row>
    <row r="351" spans="1:4" ht="15" customHeight="1" x14ac:dyDescent="0.2">
      <c r="A351" s="15" t="s">
        <v>465</v>
      </c>
      <c r="B351" s="12">
        <v>351</v>
      </c>
      <c r="D351" s="14" t="s">
        <v>466</v>
      </c>
    </row>
    <row r="352" spans="1:4" ht="15" customHeight="1" x14ac:dyDescent="0.2">
      <c r="A352" s="15" t="s">
        <v>467</v>
      </c>
      <c r="B352" s="12">
        <v>352</v>
      </c>
      <c r="D352" s="14" t="s">
        <v>2049</v>
      </c>
    </row>
    <row r="353" spans="1:4" ht="15" customHeight="1" x14ac:dyDescent="0.2">
      <c r="A353" s="15" t="s">
        <v>468</v>
      </c>
      <c r="B353" s="12">
        <v>353</v>
      </c>
      <c r="D353" s="14" t="s">
        <v>2050</v>
      </c>
    </row>
  </sheetData>
  <sheetProtection algorithmName="SHA-512" hashValue="BjrlkNSUZGwB5gZCrviuRvSsz7kgvBr4lt8tbGSbfJSxEb+hZIdc4T70QEew4d3u/mAdvtQGmzf0VqB0bB2Biw==" saltValue="wFH+SKqJTK1HSZW3a9UfUw==" spinCount="100000" sheet="1" objects="1" scenarios="1"/>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H15"/>
  <sheetViews>
    <sheetView workbookViewId="0">
      <selection activeCell="E21" sqref="E21"/>
    </sheetView>
  </sheetViews>
  <sheetFormatPr defaultColWidth="9.28515625" defaultRowHeight="12.75" x14ac:dyDescent="0.2"/>
  <cols>
    <col min="1" max="1" width="22.28515625" style="2" customWidth="1"/>
    <col min="2" max="2" width="1.7109375" style="2" customWidth="1"/>
    <col min="3" max="3" width="18.42578125" style="2" customWidth="1"/>
    <col min="4" max="6" width="18" style="2" customWidth="1"/>
    <col min="7" max="7" width="2.28515625" style="2" customWidth="1"/>
    <col min="8" max="8" width="22.42578125" style="2" customWidth="1"/>
    <col min="9" max="16384" width="9.28515625" style="2"/>
  </cols>
  <sheetData>
    <row r="1" spans="1:8" x14ac:dyDescent="0.2">
      <c r="A1" s="16" t="s">
        <v>469</v>
      </c>
      <c r="H1" s="16"/>
    </row>
    <row r="2" spans="1:8" x14ac:dyDescent="0.2">
      <c r="A2" s="16" t="s">
        <v>470</v>
      </c>
      <c r="H2" s="16"/>
    </row>
    <row r="3" spans="1:8" x14ac:dyDescent="0.2">
      <c r="A3" s="16"/>
    </row>
    <row r="4" spans="1:8" x14ac:dyDescent="0.2">
      <c r="A4" s="17" t="s">
        <v>471</v>
      </c>
      <c r="C4" s="165" t="s">
        <v>472</v>
      </c>
      <c r="D4" s="166"/>
      <c r="E4" s="18"/>
      <c r="F4" s="18"/>
      <c r="H4" s="16" t="s">
        <v>473</v>
      </c>
    </row>
    <row r="5" spans="1:8" x14ac:dyDescent="0.2">
      <c r="A5" s="19" t="s">
        <v>474</v>
      </c>
      <c r="C5" s="19" t="s">
        <v>475</v>
      </c>
      <c r="D5" s="19" t="s">
        <v>476</v>
      </c>
      <c r="E5" s="19" t="s">
        <v>477</v>
      </c>
      <c r="F5" s="19" t="s">
        <v>478</v>
      </c>
      <c r="H5" s="19" t="s">
        <v>479</v>
      </c>
    </row>
    <row r="6" spans="1:8" ht="12.75" customHeight="1" x14ac:dyDescent="0.2">
      <c r="A6" s="15" t="s">
        <v>216</v>
      </c>
      <c r="C6" s="13" t="str">
        <f>IF(VLOOKUP($A6,JTDatabase,3,FALSE)=0,"",VLOOKUP($A6,JTDatabase,3,FALSE))</f>
        <v>Analyses conducted to refine manufacturing and quality cost drivers, risks, and development strategy (e.g., lab to pilot to factory). Potential cost reduction and system affordability gap closure strategies identified.</v>
      </c>
      <c r="D6" s="13" t="str">
        <f>IF(VLOOKUP($A6,JTDatabase,4,FALSE)=0,"",VLOOKUP($A6,JTDatabase,4,FALSE))</f>
        <v>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Examples of ‘Objective Evidence’:
•  Analyses for refining manufacturing and quality cost drivers, risks, and development strategy (e.g., lab to pilot to factory) are documented 
•  Trade-offs in design options based on experiments and initial MOEs are documented
Questions (MRL Criteria in the form of a question):
1. Have analyses been conducted to refine manufacturing and quality cost drivers, risks, and development strategy (e.g., lab to pilot to factory)?  
2. Are trade-offs in design options based on experiments and initial MOEs?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v>
      </c>
      <c r="E6" s="13" t="str">
        <f>IF(VLOOKUP($A6,JTDatabase,5,FALSE)=0,"",VLOOKUP($A6,JTDatabase,5,FALSE))</f>
        <v/>
      </c>
      <c r="F6" s="20" t="str">
        <f>IF(VLOOKUP($A6,JTDatabase,6,FALSE)=0,"",VLOOKUP($A6,JTDatabase,6,FALSE))</f>
        <v/>
      </c>
      <c r="H6" s="21">
        <f>IF(VLOOKUP($A6,JTDatabase,2,FALSE)=0,"",VLOOKUP($A6,JTDatabase,2,FALSE))</f>
        <v>138</v>
      </c>
    </row>
    <row r="7" spans="1:8" ht="12.75" customHeight="1" x14ac:dyDescent="0.2">
      <c r="A7" s="8"/>
    </row>
    <row r="8" spans="1:8" ht="12.75" customHeight="1" x14ac:dyDescent="0.2">
      <c r="A8" s="19" t="s">
        <v>480</v>
      </c>
      <c r="C8" s="19" t="s">
        <v>481</v>
      </c>
    </row>
    <row r="9" spans="1:8" ht="12.75" customHeight="1" x14ac:dyDescent="0.2">
      <c r="A9" s="15" t="s">
        <v>212</v>
      </c>
      <c r="C9" s="13" t="str">
        <f>IF(VLOOKUP($A9,JTDatabase,3,FALSE)=0,"",VLOOKUP($A9,JTDatabase,3,FALSE))</f>
        <v>C.2 - Cost Analysis</v>
      </c>
      <c r="H9" s="16"/>
    </row>
    <row r="10" spans="1:8" ht="12.75" customHeight="1" x14ac:dyDescent="0.2">
      <c r="A10" s="8"/>
    </row>
    <row r="11" spans="1:8" ht="12.75" customHeight="1" x14ac:dyDescent="0.2">
      <c r="A11" s="19" t="s">
        <v>482</v>
      </c>
      <c r="C11" s="19" t="s">
        <v>483</v>
      </c>
    </row>
    <row r="12" spans="1:8" ht="12.75" customHeight="1" x14ac:dyDescent="0.2">
      <c r="A12" s="15" t="s">
        <v>94</v>
      </c>
      <c r="C12" s="13" t="str">
        <f>IF(VLOOKUP($A12,JTDatabase,3,FALSE)=0,"",VLOOKUP($A12,JTDatabase,3,FALSE))</f>
        <v>MRL 3</v>
      </c>
    </row>
    <row r="13" spans="1:8" ht="12.75" customHeight="1" x14ac:dyDescent="0.2"/>
    <row r="14" spans="1:8" ht="12.75" customHeight="1" x14ac:dyDescent="0.2"/>
    <row r="15" spans="1:8" ht="12.75" customHeight="1" x14ac:dyDescent="0.2"/>
  </sheetData>
  <sheetProtection algorithmName="SHA-512" hashValue="obFd9Es/9Qo1NMK6LU3aCRUaR2hAm1k2gk9UpDRNaP2wjERTHcTPIsSfGUK9HtCClUq0CVzlysnAqbugdnBtvQ==" saltValue="aaM+x8QjpqD8EfTJ8A/Erg==" spinCount="100000" sheet="1" objects="1" scenarios="1"/>
  <mergeCells count="1">
    <mergeCell ref="C4:D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L29"/>
  <sheetViews>
    <sheetView zoomScale="90" zoomScaleNormal="90" zoomScaleSheetLayoutView="100" workbookViewId="0">
      <pane xSplit="2" ySplit="6" topLeftCell="C7" activePane="bottomRight" state="frozen"/>
      <selection activeCell="B62" sqref="B62"/>
      <selection pane="topRight" activeCell="B62" sqref="B62"/>
      <selection pane="bottomLeft" activeCell="B62" sqref="B62"/>
      <selection pane="bottomRight" activeCell="E12" sqref="E12"/>
    </sheetView>
  </sheetViews>
  <sheetFormatPr defaultColWidth="9.28515625" defaultRowHeight="12.75" x14ac:dyDescent="0.2"/>
  <cols>
    <col min="1" max="1" width="15.5703125" style="138" bestFit="1" customWidth="1"/>
    <col min="2" max="2" width="18.5703125" style="139" customWidth="1"/>
    <col min="3" max="5" width="22" style="139" customWidth="1"/>
    <col min="6" max="12" width="22" style="140" customWidth="1"/>
    <col min="13" max="16384" width="9.28515625" style="134"/>
  </cols>
  <sheetData>
    <row r="1" spans="1:12" ht="26.45" customHeight="1" x14ac:dyDescent="0.2">
      <c r="A1" s="167" t="s">
        <v>1808</v>
      </c>
      <c r="B1" s="168"/>
      <c r="C1" s="141"/>
      <c r="D1" s="142"/>
      <c r="E1" s="143"/>
      <c r="F1" s="143"/>
      <c r="G1" s="144"/>
      <c r="H1" s="144"/>
      <c r="I1" s="143"/>
      <c r="J1" s="143"/>
      <c r="K1" s="143"/>
      <c r="L1" s="145"/>
    </row>
    <row r="2" spans="1:12" s="135" customFormat="1" ht="18" customHeight="1" x14ac:dyDescent="0.25">
      <c r="A2" s="176" t="s">
        <v>25</v>
      </c>
      <c r="B2" s="177"/>
      <c r="C2" s="177"/>
      <c r="D2" s="177"/>
      <c r="E2" s="177"/>
      <c r="F2" s="177"/>
      <c r="G2" s="177"/>
      <c r="H2" s="177"/>
      <c r="I2" s="177"/>
      <c r="J2" s="177"/>
      <c r="K2" s="177"/>
      <c r="L2" s="178"/>
    </row>
    <row r="3" spans="1:12" s="136" customFormat="1" ht="39" customHeight="1" x14ac:dyDescent="0.25">
      <c r="A3" s="179" t="s">
        <v>38</v>
      </c>
      <c r="B3" s="180"/>
      <c r="C3" s="181" t="s">
        <v>41</v>
      </c>
      <c r="D3" s="182"/>
      <c r="E3" s="175"/>
      <c r="F3" s="23" t="s">
        <v>45</v>
      </c>
      <c r="G3" s="183" t="s">
        <v>48</v>
      </c>
      <c r="H3" s="183"/>
      <c r="I3" s="184" t="s">
        <v>52</v>
      </c>
      <c r="J3" s="184"/>
      <c r="K3" s="24" t="s">
        <v>56</v>
      </c>
      <c r="L3" s="146" t="s">
        <v>59</v>
      </c>
    </row>
    <row r="4" spans="1:12" s="136" customFormat="1" ht="39" customHeight="1" x14ac:dyDescent="0.25">
      <c r="A4" s="174" t="s">
        <v>62</v>
      </c>
      <c r="B4" s="175"/>
      <c r="C4" s="133"/>
      <c r="D4" s="133"/>
      <c r="E4" s="133"/>
      <c r="F4" s="133" t="s">
        <v>68</v>
      </c>
      <c r="G4" s="133" t="s">
        <v>71</v>
      </c>
      <c r="H4" s="133" t="s">
        <v>74</v>
      </c>
      <c r="I4" s="133" t="s">
        <v>77</v>
      </c>
      <c r="J4" s="133" t="s">
        <v>79</v>
      </c>
      <c r="K4" s="133" t="s">
        <v>82</v>
      </c>
      <c r="L4" s="147"/>
    </row>
    <row r="5" spans="1:12" s="136" customFormat="1" ht="18.75" x14ac:dyDescent="0.25">
      <c r="A5" s="148" t="s">
        <v>85</v>
      </c>
      <c r="B5" s="25" t="s">
        <v>87</v>
      </c>
      <c r="C5" s="25" t="s">
        <v>89</v>
      </c>
      <c r="D5" s="25" t="s">
        <v>92</v>
      </c>
      <c r="E5" s="25" t="s">
        <v>95</v>
      </c>
      <c r="F5" s="25" t="s">
        <v>98</v>
      </c>
      <c r="G5" s="25" t="s">
        <v>101</v>
      </c>
      <c r="H5" s="25" t="s">
        <v>103</v>
      </c>
      <c r="I5" s="26" t="s">
        <v>105</v>
      </c>
      <c r="J5" s="26" t="s">
        <v>107</v>
      </c>
      <c r="K5" s="27" t="s">
        <v>109</v>
      </c>
      <c r="L5" s="149" t="s">
        <v>111</v>
      </c>
    </row>
    <row r="6" spans="1:12" s="137" customFormat="1" ht="25.5" x14ac:dyDescent="0.25">
      <c r="A6" s="150"/>
      <c r="B6" s="22" t="s">
        <v>114</v>
      </c>
      <c r="C6" s="81" t="s">
        <v>116</v>
      </c>
      <c r="D6" s="28" t="s">
        <v>118</v>
      </c>
      <c r="E6" s="28" t="s">
        <v>120</v>
      </c>
      <c r="F6" s="80" t="s">
        <v>122</v>
      </c>
      <c r="G6" s="29" t="s">
        <v>124</v>
      </c>
      <c r="H6" s="29" t="s">
        <v>126</v>
      </c>
      <c r="I6" s="30" t="s">
        <v>128</v>
      </c>
      <c r="J6" s="123" t="s">
        <v>1935</v>
      </c>
      <c r="K6" s="122" t="s">
        <v>132</v>
      </c>
      <c r="L6" s="151" t="s">
        <v>132</v>
      </c>
    </row>
    <row r="7" spans="1:12" ht="59.25" customHeight="1" x14ac:dyDescent="0.2">
      <c r="A7" s="169" t="s">
        <v>134</v>
      </c>
      <c r="B7" s="31" t="s">
        <v>137</v>
      </c>
      <c r="C7" s="32" t="s">
        <v>1528</v>
      </c>
      <c r="D7" s="32" t="s">
        <v>1938</v>
      </c>
      <c r="E7" s="32" t="s">
        <v>1937</v>
      </c>
      <c r="F7" s="132" t="s">
        <v>1936</v>
      </c>
      <c r="G7" s="132" t="s">
        <v>1811</v>
      </c>
      <c r="H7" s="132" t="s">
        <v>2170</v>
      </c>
      <c r="I7" s="132" t="s">
        <v>1813</v>
      </c>
      <c r="J7" s="132" t="s">
        <v>1813</v>
      </c>
      <c r="K7" s="132" t="s">
        <v>1813</v>
      </c>
      <c r="L7" s="152" t="s">
        <v>1817</v>
      </c>
    </row>
    <row r="8" spans="1:12" ht="51" x14ac:dyDescent="0.2">
      <c r="A8" s="172"/>
      <c r="B8" s="31" t="s">
        <v>150</v>
      </c>
      <c r="C8" s="132" t="s">
        <v>1530</v>
      </c>
      <c r="D8" s="132" t="s">
        <v>1566</v>
      </c>
      <c r="E8" s="132" t="s">
        <v>1598</v>
      </c>
      <c r="F8" s="132" t="s">
        <v>1940</v>
      </c>
      <c r="G8" s="132" t="s">
        <v>484</v>
      </c>
      <c r="H8" s="132" t="s">
        <v>485</v>
      </c>
      <c r="I8" s="132" t="s">
        <v>485</v>
      </c>
      <c r="J8" s="132" t="s">
        <v>1291</v>
      </c>
      <c r="K8" s="132" t="s">
        <v>486</v>
      </c>
      <c r="L8" s="152" t="s">
        <v>487</v>
      </c>
    </row>
    <row r="9" spans="1:12" ht="51" x14ac:dyDescent="0.2">
      <c r="A9" s="173" t="s">
        <v>164</v>
      </c>
      <c r="B9" s="31" t="s">
        <v>167</v>
      </c>
      <c r="C9" s="132" t="s">
        <v>1532</v>
      </c>
      <c r="D9" s="132" t="s">
        <v>1568</v>
      </c>
      <c r="E9" s="132" t="s">
        <v>1600</v>
      </c>
      <c r="F9" s="132" t="s">
        <v>1632</v>
      </c>
      <c r="G9" s="132" t="s">
        <v>488</v>
      </c>
      <c r="H9" s="132" t="s">
        <v>489</v>
      </c>
      <c r="I9" s="132" t="s">
        <v>490</v>
      </c>
      <c r="J9" s="132" t="s">
        <v>491</v>
      </c>
      <c r="K9" s="132" t="s">
        <v>492</v>
      </c>
      <c r="L9" s="152" t="s">
        <v>493</v>
      </c>
    </row>
    <row r="10" spans="1:12" ht="38.25" x14ac:dyDescent="0.2">
      <c r="A10" s="173"/>
      <c r="B10" s="31" t="s">
        <v>181</v>
      </c>
      <c r="C10" s="132" t="s">
        <v>1534</v>
      </c>
      <c r="D10" s="132" t="s">
        <v>1570</v>
      </c>
      <c r="E10" s="132" t="s">
        <v>1602</v>
      </c>
      <c r="F10" s="132" t="s">
        <v>1800</v>
      </c>
      <c r="G10" s="132" t="s">
        <v>2177</v>
      </c>
      <c r="H10" s="132" t="s">
        <v>1692</v>
      </c>
      <c r="I10" s="132" t="s">
        <v>1945</v>
      </c>
      <c r="J10" s="132" t="s">
        <v>494</v>
      </c>
      <c r="K10" s="132" t="s">
        <v>495</v>
      </c>
      <c r="L10" s="152" t="s">
        <v>496</v>
      </c>
    </row>
    <row r="11" spans="1:12" ht="38.25" x14ac:dyDescent="0.2">
      <c r="A11" s="173" t="s">
        <v>193</v>
      </c>
      <c r="B11" s="33" t="s">
        <v>196</v>
      </c>
      <c r="C11" s="132" t="s">
        <v>1536</v>
      </c>
      <c r="D11" s="132" t="s">
        <v>199</v>
      </c>
      <c r="E11" s="132" t="s">
        <v>1604</v>
      </c>
      <c r="F11" s="132" t="s">
        <v>1635</v>
      </c>
      <c r="G11" s="132" t="s">
        <v>497</v>
      </c>
      <c r="H11" s="132" t="s">
        <v>1947</v>
      </c>
      <c r="I11" s="132" t="s">
        <v>498</v>
      </c>
      <c r="J11" s="132" t="s">
        <v>1292</v>
      </c>
      <c r="K11" s="132" t="s">
        <v>499</v>
      </c>
      <c r="L11" s="152" t="s">
        <v>500</v>
      </c>
    </row>
    <row r="12" spans="1:12" ht="46.5" customHeight="1" x14ac:dyDescent="0.2">
      <c r="A12" s="173"/>
      <c r="B12" s="33" t="s">
        <v>213</v>
      </c>
      <c r="C12" s="132" t="s">
        <v>1949</v>
      </c>
      <c r="D12" s="132" t="s">
        <v>1572</v>
      </c>
      <c r="E12" s="132" t="s">
        <v>1606</v>
      </c>
      <c r="F12" s="132" t="s">
        <v>1637</v>
      </c>
      <c r="G12" s="132" t="s">
        <v>501</v>
      </c>
      <c r="H12" s="132" t="s">
        <v>502</v>
      </c>
      <c r="I12" s="132" t="s">
        <v>503</v>
      </c>
      <c r="J12" s="132" t="s">
        <v>504</v>
      </c>
      <c r="K12" s="132" t="s">
        <v>505</v>
      </c>
      <c r="L12" s="152" t="s">
        <v>506</v>
      </c>
    </row>
    <row r="13" spans="1:12" ht="38.25" x14ac:dyDescent="0.2">
      <c r="A13" s="173"/>
      <c r="B13" s="33" t="s">
        <v>227</v>
      </c>
      <c r="C13" s="132" t="s">
        <v>1538</v>
      </c>
      <c r="D13" s="132" t="s">
        <v>507</v>
      </c>
      <c r="E13" s="132" t="s">
        <v>507</v>
      </c>
      <c r="F13" s="132" t="s">
        <v>1822</v>
      </c>
      <c r="G13" s="132" t="s">
        <v>508</v>
      </c>
      <c r="H13" s="132" t="s">
        <v>509</v>
      </c>
      <c r="I13" s="132" t="s">
        <v>508</v>
      </c>
      <c r="J13" s="132" t="s">
        <v>509</v>
      </c>
      <c r="K13" s="132" t="s">
        <v>509</v>
      </c>
      <c r="L13" s="152" t="s">
        <v>510</v>
      </c>
    </row>
    <row r="14" spans="1:12" ht="25.5" x14ac:dyDescent="0.2">
      <c r="A14" s="173" t="s">
        <v>240</v>
      </c>
      <c r="B14" s="34" t="s">
        <v>243</v>
      </c>
      <c r="C14" s="132" t="s">
        <v>1953</v>
      </c>
      <c r="D14" s="132" t="s">
        <v>1575</v>
      </c>
      <c r="E14" s="132" t="s">
        <v>1609</v>
      </c>
      <c r="F14" s="132" t="s">
        <v>1639</v>
      </c>
      <c r="G14" s="132" t="s">
        <v>1303</v>
      </c>
      <c r="H14" s="132" t="s">
        <v>511</v>
      </c>
      <c r="I14" s="132" t="s">
        <v>512</v>
      </c>
      <c r="J14" s="132" t="s">
        <v>1955</v>
      </c>
      <c r="K14" s="132" t="s">
        <v>1365</v>
      </c>
      <c r="L14" s="152" t="s">
        <v>1349</v>
      </c>
    </row>
    <row r="15" spans="1:12" ht="76.5" x14ac:dyDescent="0.2">
      <c r="A15" s="173"/>
      <c r="B15" s="34" t="s">
        <v>2000</v>
      </c>
      <c r="C15" s="132" t="s">
        <v>1957</v>
      </c>
      <c r="D15" s="132" t="s">
        <v>1577</v>
      </c>
      <c r="E15" s="132" t="s">
        <v>1577</v>
      </c>
      <c r="F15" s="132" t="s">
        <v>1298</v>
      </c>
      <c r="G15" s="132" t="s">
        <v>1304</v>
      </c>
      <c r="H15" s="132" t="s">
        <v>1304</v>
      </c>
      <c r="I15" s="132" t="s">
        <v>1304</v>
      </c>
      <c r="J15" s="132" t="s">
        <v>1335</v>
      </c>
      <c r="K15" s="132" t="s">
        <v>513</v>
      </c>
      <c r="L15" s="152" t="s">
        <v>1835</v>
      </c>
    </row>
    <row r="16" spans="1:12" ht="38.25" x14ac:dyDescent="0.2">
      <c r="A16" s="173"/>
      <c r="B16" s="34" t="s">
        <v>271</v>
      </c>
      <c r="C16" s="32" t="s">
        <v>1542</v>
      </c>
      <c r="D16" s="132" t="s">
        <v>1959</v>
      </c>
      <c r="E16" s="132" t="s">
        <v>1612</v>
      </c>
      <c r="F16" s="132" t="s">
        <v>1837</v>
      </c>
      <c r="G16" s="132" t="s">
        <v>1839</v>
      </c>
      <c r="H16" s="132" t="s">
        <v>2239</v>
      </c>
      <c r="I16" s="132" t="s">
        <v>514</v>
      </c>
      <c r="J16" s="132" t="s">
        <v>515</v>
      </c>
      <c r="K16" s="132" t="s">
        <v>516</v>
      </c>
      <c r="L16" s="152" t="s">
        <v>1840</v>
      </c>
    </row>
    <row r="17" spans="1:12" ht="64.5" customHeight="1" x14ac:dyDescent="0.2">
      <c r="A17" s="173"/>
      <c r="B17" s="34" t="s">
        <v>1286</v>
      </c>
      <c r="C17" s="32" t="s">
        <v>1544</v>
      </c>
      <c r="D17" s="132" t="s">
        <v>517</v>
      </c>
      <c r="E17" s="132" t="s">
        <v>1297</v>
      </c>
      <c r="F17" s="132" t="s">
        <v>1299</v>
      </c>
      <c r="G17" s="132" t="s">
        <v>1305</v>
      </c>
      <c r="H17" s="132" t="s">
        <v>1289</v>
      </c>
      <c r="I17" s="132" t="s">
        <v>2245</v>
      </c>
      <c r="J17" s="132" t="s">
        <v>1336</v>
      </c>
      <c r="K17" s="132" t="s">
        <v>1294</v>
      </c>
      <c r="L17" s="152" t="s">
        <v>1296</v>
      </c>
    </row>
    <row r="18" spans="1:12" ht="51" x14ac:dyDescent="0.2">
      <c r="A18" s="173" t="s">
        <v>297</v>
      </c>
      <c r="B18" s="35" t="s">
        <v>300</v>
      </c>
      <c r="C18" s="32" t="s">
        <v>1963</v>
      </c>
      <c r="D18" s="132" t="s">
        <v>1964</v>
      </c>
      <c r="E18" s="132" t="s">
        <v>1614</v>
      </c>
      <c r="F18" s="132" t="s">
        <v>1642</v>
      </c>
      <c r="G18" s="132" t="s">
        <v>1306</v>
      </c>
      <c r="H18" s="132" t="s">
        <v>1316</v>
      </c>
      <c r="I18" s="132" t="s">
        <v>1324</v>
      </c>
      <c r="J18" s="132" t="s">
        <v>1337</v>
      </c>
      <c r="K18" s="132" t="s">
        <v>1337</v>
      </c>
      <c r="L18" s="152" t="s">
        <v>1337</v>
      </c>
    </row>
    <row r="19" spans="1:12" ht="57" customHeight="1" x14ac:dyDescent="0.2">
      <c r="A19" s="173"/>
      <c r="B19" s="35" t="s">
        <v>313</v>
      </c>
      <c r="C19" s="32" t="s">
        <v>1547</v>
      </c>
      <c r="D19" s="132" t="s">
        <v>1568</v>
      </c>
      <c r="E19" s="132" t="s">
        <v>521</v>
      </c>
      <c r="F19" s="132" t="s">
        <v>1644</v>
      </c>
      <c r="G19" s="132" t="s">
        <v>1308</v>
      </c>
      <c r="H19" s="132" t="s">
        <v>518</v>
      </c>
      <c r="I19" s="132" t="s">
        <v>519</v>
      </c>
      <c r="J19" s="132" t="s">
        <v>1293</v>
      </c>
      <c r="K19" s="132" t="s">
        <v>520</v>
      </c>
      <c r="L19" s="152" t="s">
        <v>520</v>
      </c>
    </row>
    <row r="20" spans="1:12" ht="32.25" customHeight="1" x14ac:dyDescent="0.2">
      <c r="A20" s="173"/>
      <c r="B20" s="35" t="s">
        <v>328</v>
      </c>
      <c r="C20" s="32" t="s">
        <v>1549</v>
      </c>
      <c r="D20" s="132" t="s">
        <v>1568</v>
      </c>
      <c r="E20" s="132" t="s">
        <v>521</v>
      </c>
      <c r="F20" s="132" t="s">
        <v>1971</v>
      </c>
      <c r="G20" s="132" t="s">
        <v>522</v>
      </c>
      <c r="H20" s="132" t="s">
        <v>523</v>
      </c>
      <c r="I20" s="132" t="s">
        <v>523</v>
      </c>
      <c r="J20" s="132" t="s">
        <v>524</v>
      </c>
      <c r="K20" s="132" t="s">
        <v>525</v>
      </c>
      <c r="L20" s="152" t="s">
        <v>1846</v>
      </c>
    </row>
    <row r="21" spans="1:12" ht="38.25" x14ac:dyDescent="0.2">
      <c r="A21" s="169" t="s">
        <v>1273</v>
      </c>
      <c r="B21" s="85" t="s">
        <v>347</v>
      </c>
      <c r="C21" s="32" t="s">
        <v>1551</v>
      </c>
      <c r="D21" s="132" t="s">
        <v>1584</v>
      </c>
      <c r="E21" s="132" t="s">
        <v>1617</v>
      </c>
      <c r="F21" s="132" t="s">
        <v>1647</v>
      </c>
      <c r="G21" s="132" t="s">
        <v>1975</v>
      </c>
      <c r="H21" s="132" t="s">
        <v>1319</v>
      </c>
      <c r="I21" s="132" t="s">
        <v>1326</v>
      </c>
      <c r="J21" s="132" t="s">
        <v>1339</v>
      </c>
      <c r="K21" s="132" t="s">
        <v>526</v>
      </c>
      <c r="L21" s="152" t="s">
        <v>527</v>
      </c>
    </row>
    <row r="22" spans="1:12" ht="38.25" x14ac:dyDescent="0.2">
      <c r="A22" s="170"/>
      <c r="B22" s="85" t="s">
        <v>361</v>
      </c>
      <c r="C22" s="32" t="s">
        <v>1977</v>
      </c>
      <c r="D22" s="132" t="s">
        <v>1568</v>
      </c>
      <c r="E22" s="132" t="s">
        <v>1600</v>
      </c>
      <c r="F22" s="132" t="s">
        <v>1978</v>
      </c>
      <c r="G22" s="132" t="s">
        <v>528</v>
      </c>
      <c r="H22" s="132" t="s">
        <v>1848</v>
      </c>
      <c r="I22" s="132" t="s">
        <v>2254</v>
      </c>
      <c r="J22" s="132" t="s">
        <v>1340</v>
      </c>
      <c r="K22" s="132" t="s">
        <v>529</v>
      </c>
      <c r="L22" s="152" t="s">
        <v>1360</v>
      </c>
    </row>
    <row r="23" spans="1:12" ht="40.5" customHeight="1" thickBot="1" x14ac:dyDescent="0.25">
      <c r="A23" s="172"/>
      <c r="B23" s="86" t="s">
        <v>1287</v>
      </c>
      <c r="C23" s="32" t="s">
        <v>1554</v>
      </c>
      <c r="D23" s="132" t="s">
        <v>1587</v>
      </c>
      <c r="E23" s="132" t="s">
        <v>1554</v>
      </c>
      <c r="F23" s="132" t="s">
        <v>1851</v>
      </c>
      <c r="G23" s="132" t="s">
        <v>1850</v>
      </c>
      <c r="H23" s="132" t="s">
        <v>1849</v>
      </c>
      <c r="I23" s="132" t="s">
        <v>2261</v>
      </c>
      <c r="J23" s="132" t="s">
        <v>1341</v>
      </c>
      <c r="K23" s="132" t="s">
        <v>1295</v>
      </c>
      <c r="L23" s="152" t="s">
        <v>530</v>
      </c>
    </row>
    <row r="24" spans="1:12" ht="66.75" thickTop="1" x14ac:dyDescent="0.2">
      <c r="A24" s="153" t="s">
        <v>387</v>
      </c>
      <c r="B24" s="36" t="s">
        <v>390</v>
      </c>
      <c r="C24" s="32" t="s">
        <v>1556</v>
      </c>
      <c r="D24" s="132" t="s">
        <v>1556</v>
      </c>
      <c r="E24" s="132" t="s">
        <v>1621</v>
      </c>
      <c r="F24" s="132" t="s">
        <v>1650</v>
      </c>
      <c r="G24" s="132" t="s">
        <v>531</v>
      </c>
      <c r="H24" s="132" t="s">
        <v>1320</v>
      </c>
      <c r="I24" s="132" t="s">
        <v>1327</v>
      </c>
      <c r="J24" s="132" t="s">
        <v>1327</v>
      </c>
      <c r="K24" s="132" t="s">
        <v>1353</v>
      </c>
      <c r="L24" s="152" t="s">
        <v>532</v>
      </c>
    </row>
    <row r="25" spans="1:12" ht="38.25" x14ac:dyDescent="0.2">
      <c r="A25" s="169" t="s">
        <v>403</v>
      </c>
      <c r="B25" s="34" t="s">
        <v>1288</v>
      </c>
      <c r="C25" s="32" t="s">
        <v>1558</v>
      </c>
      <c r="D25" s="32" t="s">
        <v>1590</v>
      </c>
      <c r="E25" s="32" t="s">
        <v>1623</v>
      </c>
      <c r="F25" s="32" t="s">
        <v>1652</v>
      </c>
      <c r="G25" s="32" t="s">
        <v>1986</v>
      </c>
      <c r="H25" s="32" t="s">
        <v>533</v>
      </c>
      <c r="I25" s="32" t="s">
        <v>1329</v>
      </c>
      <c r="J25" s="32" t="s">
        <v>534</v>
      </c>
      <c r="K25" s="32" t="s">
        <v>535</v>
      </c>
      <c r="L25" s="154" t="s">
        <v>536</v>
      </c>
    </row>
    <row r="26" spans="1:12" ht="38.25" x14ac:dyDescent="0.2">
      <c r="A26" s="172"/>
      <c r="B26" s="34" t="s">
        <v>420</v>
      </c>
      <c r="C26" s="32" t="s">
        <v>1560</v>
      </c>
      <c r="D26" s="32" t="s">
        <v>1988</v>
      </c>
      <c r="E26" s="32" t="s">
        <v>1625</v>
      </c>
      <c r="F26" s="32" t="s">
        <v>1990</v>
      </c>
      <c r="G26" s="32" t="s">
        <v>537</v>
      </c>
      <c r="H26" s="32" t="s">
        <v>537</v>
      </c>
      <c r="I26" s="32" t="s">
        <v>537</v>
      </c>
      <c r="J26" s="32" t="s">
        <v>1344</v>
      </c>
      <c r="K26" s="32" t="s">
        <v>1356</v>
      </c>
      <c r="L26" s="154" t="s">
        <v>538</v>
      </c>
    </row>
    <row r="27" spans="1:12" ht="51" x14ac:dyDescent="0.2">
      <c r="A27" s="169" t="s">
        <v>432</v>
      </c>
      <c r="B27" s="37" t="s">
        <v>435</v>
      </c>
      <c r="C27" s="32" t="s">
        <v>1992</v>
      </c>
      <c r="D27" s="32" t="s">
        <v>1593</v>
      </c>
      <c r="E27" s="32" t="s">
        <v>1627</v>
      </c>
      <c r="F27" s="32" t="s">
        <v>1655</v>
      </c>
      <c r="G27" s="32" t="s">
        <v>1994</v>
      </c>
      <c r="H27" s="32" t="s">
        <v>1322</v>
      </c>
      <c r="I27" s="32" t="s">
        <v>1331</v>
      </c>
      <c r="J27" s="32" t="s">
        <v>1346</v>
      </c>
      <c r="K27" s="32" t="s">
        <v>1358</v>
      </c>
      <c r="L27" s="154" t="s">
        <v>1364</v>
      </c>
    </row>
    <row r="28" spans="1:12" ht="25.5" x14ac:dyDescent="0.2">
      <c r="A28" s="170"/>
      <c r="B28" s="37" t="s">
        <v>449</v>
      </c>
      <c r="C28" s="32" t="s">
        <v>1563</v>
      </c>
      <c r="D28" s="32" t="s">
        <v>1595</v>
      </c>
      <c r="E28" s="32" t="s">
        <v>1629</v>
      </c>
      <c r="F28" s="32" t="s">
        <v>1657</v>
      </c>
      <c r="G28" s="32" t="s">
        <v>1311</v>
      </c>
      <c r="H28" s="32" t="s">
        <v>1290</v>
      </c>
      <c r="I28" s="32" t="s">
        <v>539</v>
      </c>
      <c r="J28" s="32" t="s">
        <v>539</v>
      </c>
      <c r="K28" s="32" t="s">
        <v>539</v>
      </c>
      <c r="L28" s="154" t="s">
        <v>540</v>
      </c>
    </row>
    <row r="29" spans="1:12" ht="39" thickBot="1" x14ac:dyDescent="0.25">
      <c r="A29" s="171"/>
      <c r="B29" s="155" t="s">
        <v>1864</v>
      </c>
      <c r="C29" s="156"/>
      <c r="D29" s="156"/>
      <c r="E29" s="156" t="s">
        <v>1873</v>
      </c>
      <c r="F29" s="156" t="s">
        <v>1874</v>
      </c>
      <c r="G29" s="156" t="s">
        <v>1875</v>
      </c>
      <c r="H29" s="156" t="s">
        <v>1876</v>
      </c>
      <c r="I29" s="156" t="s">
        <v>1876</v>
      </c>
      <c r="J29" s="156" t="s">
        <v>1877</v>
      </c>
      <c r="K29" s="156" t="s">
        <v>1877</v>
      </c>
      <c r="L29" s="157" t="s">
        <v>1878</v>
      </c>
    </row>
  </sheetData>
  <sheetProtection algorithmName="SHA-512" hashValue="Ez5zfoqYpdD1ca9Vu1B6PlP/CjEY8FDuFwqMRRqqBRZmyauAI2JUrxwZJJngwORWJ1tMNKyS/w4HOurM3pYcKg==" saltValue="ZJMN2/5sW8IGpFNaSIi4Fw==" spinCount="100000" sheet="1" objects="1" scenarios="1"/>
  <mergeCells count="15">
    <mergeCell ref="A1:B1"/>
    <mergeCell ref="A27:A29"/>
    <mergeCell ref="A25:A26"/>
    <mergeCell ref="A7:A8"/>
    <mergeCell ref="A9:A10"/>
    <mergeCell ref="A11:A13"/>
    <mergeCell ref="A14:A17"/>
    <mergeCell ref="A18:A20"/>
    <mergeCell ref="A21:A23"/>
    <mergeCell ref="A4:B4"/>
    <mergeCell ref="A2:L2"/>
    <mergeCell ref="A3:B3"/>
    <mergeCell ref="C3:E3"/>
    <mergeCell ref="G3:H3"/>
    <mergeCell ref="I3:J3"/>
  </mergeCells>
  <printOptions horizontalCentered="1"/>
  <pageMargins left="0.5" right="0.5" top="0.15" bottom="0.15" header="0" footer="0"/>
  <pageSetup scale="50" fitToHeight="0" orientation="landscape" r:id="rId1"/>
  <rowBreaks count="1" manualBreakCount="1">
    <brk id="17"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ckbenablepopuptext">
              <controlPr defaultSize="0" autoFill="0" autoLine="0" autoPict="0">
                <anchor moveWithCells="1">
                  <from>
                    <xdr:col>2</xdr:col>
                    <xdr:colOff>95250</xdr:colOff>
                    <xdr:row>0</xdr:row>
                    <xdr:rowOff>57150</xdr:rowOff>
                  </from>
                  <to>
                    <xdr:col>2</xdr:col>
                    <xdr:colOff>1104900</xdr:colOff>
                    <xdr:row>0</xdr:row>
                    <xdr:rowOff>247650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K109"/>
  <sheetViews>
    <sheetView zoomScaleNormal="100" workbookViewId="0">
      <selection activeCell="A95" sqref="A95"/>
    </sheetView>
  </sheetViews>
  <sheetFormatPr defaultColWidth="9.28515625" defaultRowHeight="14.25" x14ac:dyDescent="0.2"/>
  <cols>
    <col min="1" max="1" width="51.42578125" style="71" bestFit="1" customWidth="1"/>
    <col min="2" max="2" width="146.42578125" style="72" customWidth="1"/>
    <col min="3" max="16384" width="9.28515625" style="59"/>
  </cols>
  <sheetData>
    <row r="1" spans="1:37" ht="38.25" customHeight="1" thickBot="1" x14ac:dyDescent="0.25">
      <c r="A1" s="185" t="s">
        <v>1227</v>
      </c>
      <c r="B1" s="186"/>
    </row>
    <row r="2" spans="1:37" ht="60" x14ac:dyDescent="0.2">
      <c r="A2" s="60" t="s">
        <v>1202</v>
      </c>
      <c r="B2" s="61" t="s">
        <v>1028</v>
      </c>
    </row>
    <row r="3" spans="1:37" x14ac:dyDescent="0.2">
      <c r="A3" s="60" t="s">
        <v>1203</v>
      </c>
      <c r="B3" s="61" t="s">
        <v>1029</v>
      </c>
    </row>
    <row r="4" spans="1:37" x14ac:dyDescent="0.3">
      <c r="A4" s="62" t="s">
        <v>1204</v>
      </c>
      <c r="B4" s="61" t="s">
        <v>1030</v>
      </c>
    </row>
    <row r="5" spans="1:37" ht="24" x14ac:dyDescent="0.2">
      <c r="A5" s="60" t="s">
        <v>1205</v>
      </c>
      <c r="B5" s="61" t="s">
        <v>1031</v>
      </c>
    </row>
    <row r="6" spans="1:37" ht="60" x14ac:dyDescent="0.2">
      <c r="A6" s="60" t="s">
        <v>1206</v>
      </c>
      <c r="B6" s="61" t="s">
        <v>1032</v>
      </c>
    </row>
    <row r="7" spans="1:37" s="63" customFormat="1" ht="60" x14ac:dyDescent="0.2">
      <c r="A7" s="60" t="s">
        <v>1207</v>
      </c>
      <c r="B7" s="61" t="s">
        <v>1033</v>
      </c>
    </row>
    <row r="8" spans="1:37" ht="48" x14ac:dyDescent="0.2">
      <c r="A8" s="60" t="s">
        <v>1208</v>
      </c>
      <c r="B8" s="61" t="s">
        <v>1034</v>
      </c>
    </row>
    <row r="9" spans="1:37" ht="36" x14ac:dyDescent="0.2">
      <c r="A9" s="64" t="s">
        <v>1209</v>
      </c>
      <c r="B9" s="61" t="s">
        <v>1035</v>
      </c>
    </row>
    <row r="10" spans="1:37" ht="72" x14ac:dyDescent="0.2">
      <c r="A10" s="60" t="s">
        <v>1210</v>
      </c>
      <c r="B10" s="61" t="s">
        <v>1036</v>
      </c>
    </row>
    <row r="11" spans="1:37" ht="48" x14ac:dyDescent="0.2">
      <c r="A11" s="60" t="s">
        <v>1211</v>
      </c>
      <c r="B11" s="61" t="s">
        <v>1037</v>
      </c>
    </row>
    <row r="12" spans="1:37" ht="36.75" thickBot="1" x14ac:dyDescent="0.25">
      <c r="A12" s="60" t="s">
        <v>1212</v>
      </c>
      <c r="B12" s="61" t="s">
        <v>1038</v>
      </c>
    </row>
    <row r="13" spans="1:37" s="67" customFormat="1" ht="24.75" thickBot="1" x14ac:dyDescent="0.3">
      <c r="A13" s="60" t="s">
        <v>1213</v>
      </c>
      <c r="B13" s="65" t="s">
        <v>1039</v>
      </c>
      <c r="C13" s="66"/>
      <c r="D13" s="66"/>
      <c r="E13" s="66"/>
      <c r="F13" s="66"/>
      <c r="G13" s="66"/>
      <c r="H13" s="66"/>
      <c r="I13" s="66"/>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row>
    <row r="14" spans="1:37" x14ac:dyDescent="0.3">
      <c r="A14" s="62" t="s">
        <v>1214</v>
      </c>
      <c r="B14" s="61" t="s">
        <v>1040</v>
      </c>
    </row>
    <row r="15" spans="1:37" x14ac:dyDescent="0.2">
      <c r="A15" s="60" t="s">
        <v>1215</v>
      </c>
      <c r="B15" s="61" t="s">
        <v>1041</v>
      </c>
    </row>
    <row r="16" spans="1:37" ht="48" x14ac:dyDescent="0.2">
      <c r="A16" s="60" t="s">
        <v>1216</v>
      </c>
      <c r="B16" s="61" t="s">
        <v>1042</v>
      </c>
    </row>
    <row r="17" spans="1:2" x14ac:dyDescent="0.2">
      <c r="A17" s="60" t="s">
        <v>1217</v>
      </c>
      <c r="B17" s="61" t="s">
        <v>1043</v>
      </c>
    </row>
    <row r="18" spans="1:2" ht="36" x14ac:dyDescent="0.2">
      <c r="A18" s="60" t="s">
        <v>1045</v>
      </c>
      <c r="B18" s="61" t="s">
        <v>1044</v>
      </c>
    </row>
    <row r="19" spans="1:2" s="63" customFormat="1" ht="24" x14ac:dyDescent="0.2">
      <c r="A19" s="60" t="s">
        <v>546</v>
      </c>
      <c r="B19" s="61" t="s">
        <v>1198</v>
      </c>
    </row>
    <row r="20" spans="1:2" ht="24" x14ac:dyDescent="0.2">
      <c r="A20" s="60" t="s">
        <v>1046</v>
      </c>
      <c r="B20" s="61" t="s">
        <v>1047</v>
      </c>
    </row>
    <row r="21" spans="1:2" ht="36" x14ac:dyDescent="0.2">
      <c r="A21" s="60" t="s">
        <v>1048</v>
      </c>
      <c r="B21" s="61" t="s">
        <v>1218</v>
      </c>
    </row>
    <row r="22" spans="1:2" x14ac:dyDescent="0.2">
      <c r="A22" s="60" t="s">
        <v>1049</v>
      </c>
      <c r="B22" s="61" t="s">
        <v>1050</v>
      </c>
    </row>
    <row r="23" spans="1:2" ht="36" x14ac:dyDescent="0.2">
      <c r="A23" s="60" t="s">
        <v>1051</v>
      </c>
      <c r="B23" s="61" t="s">
        <v>1052</v>
      </c>
    </row>
    <row r="24" spans="1:2" ht="28.5" x14ac:dyDescent="0.2">
      <c r="A24" s="60" t="s">
        <v>1053</v>
      </c>
      <c r="B24" s="61" t="s">
        <v>1693</v>
      </c>
    </row>
    <row r="25" spans="1:2" ht="36" x14ac:dyDescent="0.2">
      <c r="A25" s="60" t="s">
        <v>1054</v>
      </c>
      <c r="B25" s="61" t="s">
        <v>1055</v>
      </c>
    </row>
    <row r="26" spans="1:2" ht="28.5" x14ac:dyDescent="0.2">
      <c r="A26" s="64" t="s">
        <v>1056</v>
      </c>
      <c r="B26" s="61" t="s">
        <v>1057</v>
      </c>
    </row>
    <row r="27" spans="1:2" ht="36" x14ac:dyDescent="0.2">
      <c r="A27" s="60" t="s">
        <v>1058</v>
      </c>
      <c r="B27" s="61" t="s">
        <v>1059</v>
      </c>
    </row>
    <row r="28" spans="1:2" ht="36" x14ac:dyDescent="0.2">
      <c r="A28" s="60" t="s">
        <v>1060</v>
      </c>
      <c r="B28" s="61" t="s">
        <v>1219</v>
      </c>
    </row>
    <row r="29" spans="1:2" ht="24" x14ac:dyDescent="0.2">
      <c r="A29" s="60" t="s">
        <v>1061</v>
      </c>
      <c r="B29" s="61" t="s">
        <v>1220</v>
      </c>
    </row>
    <row r="30" spans="1:2" x14ac:dyDescent="0.2">
      <c r="A30" s="60" t="s">
        <v>1062</v>
      </c>
      <c r="B30" s="61" t="s">
        <v>1063</v>
      </c>
    </row>
    <row r="31" spans="1:2" x14ac:dyDescent="0.2">
      <c r="A31" s="60" t="s">
        <v>59</v>
      </c>
      <c r="B31" s="61" t="s">
        <v>1064</v>
      </c>
    </row>
    <row r="32" spans="1:2" ht="36" x14ac:dyDescent="0.2">
      <c r="A32" s="60" t="s">
        <v>1065</v>
      </c>
      <c r="B32" s="61" t="s">
        <v>1066</v>
      </c>
    </row>
    <row r="33" spans="1:2" x14ac:dyDescent="0.2">
      <c r="A33" s="60" t="s">
        <v>551</v>
      </c>
      <c r="B33" s="61" t="s">
        <v>1067</v>
      </c>
    </row>
    <row r="34" spans="1:2" ht="28.5" x14ac:dyDescent="0.2">
      <c r="A34" s="60" t="s">
        <v>1068</v>
      </c>
      <c r="B34" s="61" t="s">
        <v>1069</v>
      </c>
    </row>
    <row r="35" spans="1:2" ht="36" x14ac:dyDescent="0.2">
      <c r="A35" s="60" t="s">
        <v>1070</v>
      </c>
      <c r="B35" s="61" t="s">
        <v>1221</v>
      </c>
    </row>
    <row r="36" spans="1:2" ht="36" x14ac:dyDescent="0.2">
      <c r="A36" s="60" t="s">
        <v>1071</v>
      </c>
      <c r="B36" s="61" t="s">
        <v>1072</v>
      </c>
    </row>
    <row r="37" spans="1:2" ht="60" x14ac:dyDescent="0.2">
      <c r="A37" s="60" t="s">
        <v>1073</v>
      </c>
      <c r="B37" s="61" t="s">
        <v>1074</v>
      </c>
    </row>
    <row r="38" spans="1:2" ht="36" x14ac:dyDescent="0.2">
      <c r="A38" s="60" t="s">
        <v>1075</v>
      </c>
      <c r="B38" s="61" t="s">
        <v>1076</v>
      </c>
    </row>
    <row r="39" spans="1:2" x14ac:dyDescent="0.2">
      <c r="A39" s="64" t="s">
        <v>1077</v>
      </c>
      <c r="B39" s="61" t="s">
        <v>1078</v>
      </c>
    </row>
    <row r="40" spans="1:2" ht="24" x14ac:dyDescent="0.2">
      <c r="A40" s="64" t="s">
        <v>1079</v>
      </c>
      <c r="B40" s="61" t="s">
        <v>1080</v>
      </c>
    </row>
    <row r="41" spans="1:2" ht="36" x14ac:dyDescent="0.2">
      <c r="A41" s="60" t="s">
        <v>1081</v>
      </c>
      <c r="B41" s="61" t="s">
        <v>1082</v>
      </c>
    </row>
    <row r="42" spans="1:2" x14ac:dyDescent="0.2">
      <c r="A42" s="64" t="s">
        <v>1083</v>
      </c>
      <c r="B42" s="61" t="s">
        <v>1222</v>
      </c>
    </row>
    <row r="43" spans="1:2" ht="48" x14ac:dyDescent="0.2">
      <c r="A43" s="60" t="s">
        <v>1084</v>
      </c>
      <c r="B43" s="61" t="s">
        <v>1085</v>
      </c>
    </row>
    <row r="44" spans="1:2" x14ac:dyDescent="0.2">
      <c r="A44" s="60" t="s">
        <v>1086</v>
      </c>
      <c r="B44" s="61" t="s">
        <v>1087</v>
      </c>
    </row>
    <row r="45" spans="1:2" ht="36" x14ac:dyDescent="0.2">
      <c r="A45" s="60" t="s">
        <v>560</v>
      </c>
      <c r="B45" s="61" t="s">
        <v>1088</v>
      </c>
    </row>
    <row r="46" spans="1:2" x14ac:dyDescent="0.2">
      <c r="A46" s="60" t="s">
        <v>1089</v>
      </c>
      <c r="B46" s="61" t="s">
        <v>1090</v>
      </c>
    </row>
    <row r="47" spans="1:2" ht="120" x14ac:dyDescent="0.2">
      <c r="A47" s="60" t="s">
        <v>56</v>
      </c>
      <c r="B47" s="61" t="s">
        <v>1091</v>
      </c>
    </row>
    <row r="48" spans="1:2" ht="24" x14ac:dyDescent="0.2">
      <c r="A48" s="60" t="s">
        <v>1092</v>
      </c>
      <c r="B48" s="61" t="s">
        <v>1093</v>
      </c>
    </row>
    <row r="49" spans="1:2" ht="24" x14ac:dyDescent="0.2">
      <c r="A49" s="64" t="s">
        <v>1094</v>
      </c>
      <c r="B49" s="61" t="s">
        <v>1095</v>
      </c>
    </row>
    <row r="50" spans="1:2" ht="48" x14ac:dyDescent="0.2">
      <c r="A50" s="60" t="s">
        <v>1096</v>
      </c>
      <c r="B50" s="61" t="s">
        <v>1226</v>
      </c>
    </row>
    <row r="51" spans="1:2" ht="24" x14ac:dyDescent="0.2">
      <c r="A51" s="60" t="s">
        <v>562</v>
      </c>
      <c r="B51" s="61" t="s">
        <v>1097</v>
      </c>
    </row>
    <row r="52" spans="1:2" ht="24" x14ac:dyDescent="0.2">
      <c r="A52" s="60" t="s">
        <v>1098</v>
      </c>
      <c r="B52" s="61" t="s">
        <v>1099</v>
      </c>
    </row>
    <row r="53" spans="1:2" ht="24" x14ac:dyDescent="0.2">
      <c r="A53" s="60" t="s">
        <v>1100</v>
      </c>
      <c r="B53" s="61" t="s">
        <v>1101</v>
      </c>
    </row>
    <row r="54" spans="1:2" ht="24" x14ac:dyDescent="0.2">
      <c r="A54" s="60" t="s">
        <v>1102</v>
      </c>
      <c r="B54" s="61" t="s">
        <v>1103</v>
      </c>
    </row>
    <row r="55" spans="1:2" ht="24" x14ac:dyDescent="0.2">
      <c r="A55" s="60" t="s">
        <v>1104</v>
      </c>
      <c r="B55" s="61" t="s">
        <v>1105</v>
      </c>
    </row>
    <row r="56" spans="1:2" ht="48" x14ac:dyDescent="0.2">
      <c r="A56" s="64" t="s">
        <v>1106</v>
      </c>
      <c r="B56" s="61" t="s">
        <v>1223</v>
      </c>
    </row>
    <row r="57" spans="1:2" x14ac:dyDescent="0.2">
      <c r="A57" s="60" t="s">
        <v>1107</v>
      </c>
      <c r="B57" s="61" t="s">
        <v>1108</v>
      </c>
    </row>
    <row r="58" spans="1:2" x14ac:dyDescent="0.2">
      <c r="A58" s="60" t="s">
        <v>1109</v>
      </c>
      <c r="B58" s="61" t="s">
        <v>1110</v>
      </c>
    </row>
    <row r="59" spans="1:2" ht="24" x14ac:dyDescent="0.2">
      <c r="A59" s="60" t="s">
        <v>1694</v>
      </c>
      <c r="B59" s="61" t="s">
        <v>1695</v>
      </c>
    </row>
    <row r="60" spans="1:2" x14ac:dyDescent="0.2">
      <c r="A60" s="60" t="s">
        <v>1111</v>
      </c>
      <c r="B60" s="61" t="s">
        <v>1112</v>
      </c>
    </row>
    <row r="61" spans="1:2" x14ac:dyDescent="0.2">
      <c r="A61" s="60" t="s">
        <v>1696</v>
      </c>
      <c r="B61" s="61" t="s">
        <v>1697</v>
      </c>
    </row>
    <row r="62" spans="1:2" ht="96" x14ac:dyDescent="0.2">
      <c r="A62" s="60" t="s">
        <v>1113</v>
      </c>
      <c r="B62" s="61" t="s">
        <v>1224</v>
      </c>
    </row>
    <row r="63" spans="1:2" ht="36" x14ac:dyDescent="0.2">
      <c r="A63" s="60" t="s">
        <v>1114</v>
      </c>
      <c r="B63" s="61" t="s">
        <v>1115</v>
      </c>
    </row>
    <row r="64" spans="1:2" ht="24" x14ac:dyDescent="0.2">
      <c r="A64" s="60" t="s">
        <v>1116</v>
      </c>
      <c r="B64" s="61" t="s">
        <v>1117</v>
      </c>
    </row>
    <row r="65" spans="1:2" ht="48" x14ac:dyDescent="0.2">
      <c r="A65" s="60" t="s">
        <v>1118</v>
      </c>
      <c r="B65" s="61" t="s">
        <v>1119</v>
      </c>
    </row>
    <row r="66" spans="1:2" ht="36" x14ac:dyDescent="0.2">
      <c r="A66" s="60" t="s">
        <v>1120</v>
      </c>
      <c r="B66" s="61" t="s">
        <v>1121</v>
      </c>
    </row>
    <row r="67" spans="1:2" x14ac:dyDescent="0.2">
      <c r="A67" s="60" t="s">
        <v>1122</v>
      </c>
      <c r="B67" s="61" t="s">
        <v>1123</v>
      </c>
    </row>
    <row r="68" spans="1:2" ht="24" x14ac:dyDescent="0.2">
      <c r="A68" s="60" t="s">
        <v>1124</v>
      </c>
      <c r="B68" s="61" t="s">
        <v>1125</v>
      </c>
    </row>
    <row r="69" spans="1:2" ht="48" x14ac:dyDescent="0.2">
      <c r="A69" s="60" t="s">
        <v>1126</v>
      </c>
      <c r="B69" s="61" t="s">
        <v>1127</v>
      </c>
    </row>
    <row r="70" spans="1:2" ht="24" x14ac:dyDescent="0.2">
      <c r="A70" s="60" t="s">
        <v>1128</v>
      </c>
      <c r="B70" s="61" t="s">
        <v>1129</v>
      </c>
    </row>
    <row r="71" spans="1:2" ht="24" x14ac:dyDescent="0.2">
      <c r="A71" s="60" t="s">
        <v>1130</v>
      </c>
      <c r="B71" s="61" t="s">
        <v>1131</v>
      </c>
    </row>
    <row r="72" spans="1:2" ht="24" x14ac:dyDescent="0.2">
      <c r="A72" s="60" t="s">
        <v>1132</v>
      </c>
      <c r="B72" s="61" t="s">
        <v>1133</v>
      </c>
    </row>
    <row r="73" spans="1:2" ht="24" x14ac:dyDescent="0.2">
      <c r="A73" s="60" t="s">
        <v>1134</v>
      </c>
      <c r="B73" s="61" t="s">
        <v>1135</v>
      </c>
    </row>
    <row r="74" spans="1:2" ht="36" x14ac:dyDescent="0.2">
      <c r="A74" s="60" t="s">
        <v>1136</v>
      </c>
      <c r="B74" s="61" t="s">
        <v>1225</v>
      </c>
    </row>
    <row r="75" spans="1:2" ht="60" x14ac:dyDescent="0.2">
      <c r="A75" s="60" t="s">
        <v>2001</v>
      </c>
      <c r="B75" s="61" t="s">
        <v>1137</v>
      </c>
    </row>
    <row r="76" spans="1:2" ht="36" x14ac:dyDescent="0.2">
      <c r="A76" s="60" t="s">
        <v>2002</v>
      </c>
      <c r="B76" s="61" t="s">
        <v>1138</v>
      </c>
    </row>
    <row r="77" spans="1:2" ht="24" x14ac:dyDescent="0.2">
      <c r="A77" s="60" t="s">
        <v>1139</v>
      </c>
      <c r="B77" s="61" t="s">
        <v>1140</v>
      </c>
    </row>
    <row r="78" spans="1:2" ht="36" x14ac:dyDescent="0.2">
      <c r="A78" s="60" t="s">
        <v>1141</v>
      </c>
      <c r="B78" s="61" t="s">
        <v>1142</v>
      </c>
    </row>
    <row r="79" spans="1:2" ht="24" x14ac:dyDescent="0.2">
      <c r="A79" s="60" t="s">
        <v>1143</v>
      </c>
      <c r="B79" s="61" t="s">
        <v>1144</v>
      </c>
    </row>
    <row r="80" spans="1:2" x14ac:dyDescent="0.2">
      <c r="A80" s="60" t="s">
        <v>1145</v>
      </c>
      <c r="B80" s="61" t="s">
        <v>1146</v>
      </c>
    </row>
    <row r="81" spans="1:2" ht="28.5" x14ac:dyDescent="0.2">
      <c r="A81" s="60" t="s">
        <v>1147</v>
      </c>
      <c r="B81" s="61" t="s">
        <v>1148</v>
      </c>
    </row>
    <row r="82" spans="1:2" ht="36" x14ac:dyDescent="0.2">
      <c r="A82" s="60" t="s">
        <v>1149</v>
      </c>
      <c r="B82" s="61" t="s">
        <v>1150</v>
      </c>
    </row>
    <row r="83" spans="1:2" x14ac:dyDescent="0.2">
      <c r="A83" s="60" t="s">
        <v>1151</v>
      </c>
      <c r="B83" s="61" t="s">
        <v>1152</v>
      </c>
    </row>
    <row r="84" spans="1:2" x14ac:dyDescent="0.2">
      <c r="A84" s="60" t="s">
        <v>1153</v>
      </c>
      <c r="B84" s="61" t="s">
        <v>1154</v>
      </c>
    </row>
    <row r="85" spans="1:2" ht="24" x14ac:dyDescent="0.2">
      <c r="A85" s="60" t="s">
        <v>1155</v>
      </c>
      <c r="B85" s="61" t="s">
        <v>1156</v>
      </c>
    </row>
    <row r="86" spans="1:2" ht="24" x14ac:dyDescent="0.2">
      <c r="A86" s="60" t="s">
        <v>1157</v>
      </c>
      <c r="B86" s="61" t="s">
        <v>1158</v>
      </c>
    </row>
    <row r="87" spans="1:2" x14ac:dyDescent="0.2">
      <c r="A87" s="60" t="s">
        <v>1159</v>
      </c>
      <c r="B87" s="61" t="s">
        <v>1160</v>
      </c>
    </row>
    <row r="88" spans="1:2" ht="36" x14ac:dyDescent="0.2">
      <c r="A88" s="60" t="s">
        <v>1161</v>
      </c>
      <c r="B88" s="61" t="s">
        <v>1162</v>
      </c>
    </row>
    <row r="89" spans="1:2" ht="36" x14ac:dyDescent="0.2">
      <c r="A89" s="60" t="s">
        <v>1163</v>
      </c>
      <c r="B89" s="61" t="s">
        <v>1164</v>
      </c>
    </row>
    <row r="90" spans="1:2" ht="48" x14ac:dyDescent="0.2">
      <c r="A90" s="68" t="s">
        <v>1165</v>
      </c>
      <c r="B90" s="61" t="s">
        <v>1166</v>
      </c>
    </row>
    <row r="91" spans="1:2" ht="48" x14ac:dyDescent="0.2">
      <c r="A91" s="60" t="s">
        <v>1167</v>
      </c>
      <c r="B91" s="61" t="s">
        <v>1168</v>
      </c>
    </row>
    <row r="92" spans="1:2" ht="24" x14ac:dyDescent="0.2">
      <c r="A92" s="68" t="s">
        <v>1169</v>
      </c>
      <c r="B92" s="61" t="s">
        <v>1170</v>
      </c>
    </row>
    <row r="93" spans="1:2" x14ac:dyDescent="0.2">
      <c r="A93" s="60" t="s">
        <v>1171</v>
      </c>
      <c r="B93" s="61" t="s">
        <v>1172</v>
      </c>
    </row>
    <row r="94" spans="1:2" ht="24" x14ac:dyDescent="0.2">
      <c r="A94" s="60" t="s">
        <v>1173</v>
      </c>
      <c r="B94" s="61" t="s">
        <v>1174</v>
      </c>
    </row>
    <row r="95" spans="1:2" ht="24" x14ac:dyDescent="0.2">
      <c r="A95" s="60" t="s">
        <v>1175</v>
      </c>
      <c r="B95" s="61" t="s">
        <v>1176</v>
      </c>
    </row>
    <row r="96" spans="1:2" ht="24" x14ac:dyDescent="0.2">
      <c r="A96" s="64" t="s">
        <v>1177</v>
      </c>
      <c r="B96" s="61" t="s">
        <v>1178</v>
      </c>
    </row>
    <row r="97" spans="1:2" x14ac:dyDescent="0.2">
      <c r="A97" s="60" t="s">
        <v>577</v>
      </c>
      <c r="B97" s="61" t="s">
        <v>1179</v>
      </c>
    </row>
    <row r="98" spans="1:2" ht="36" x14ac:dyDescent="0.2">
      <c r="A98" s="60" t="s">
        <v>1180</v>
      </c>
      <c r="B98" s="61" t="s">
        <v>1181</v>
      </c>
    </row>
    <row r="99" spans="1:2" ht="24" x14ac:dyDescent="0.2">
      <c r="A99" s="60" t="s">
        <v>1182</v>
      </c>
      <c r="B99" s="61" t="s">
        <v>1183</v>
      </c>
    </row>
    <row r="100" spans="1:2" ht="24" x14ac:dyDescent="0.2">
      <c r="A100" s="60" t="s">
        <v>1184</v>
      </c>
      <c r="B100" s="61" t="s">
        <v>1185</v>
      </c>
    </row>
    <row r="101" spans="1:2" ht="24" x14ac:dyDescent="0.2">
      <c r="A101" s="60" t="s">
        <v>1186</v>
      </c>
      <c r="B101" s="61" t="s">
        <v>1187</v>
      </c>
    </row>
    <row r="102" spans="1:2" ht="24" x14ac:dyDescent="0.2">
      <c r="A102" s="60" t="s">
        <v>1188</v>
      </c>
      <c r="B102" s="61" t="s">
        <v>1189</v>
      </c>
    </row>
    <row r="103" spans="1:2" ht="48" x14ac:dyDescent="0.2">
      <c r="A103" s="60" t="s">
        <v>1190</v>
      </c>
      <c r="B103" s="61" t="s">
        <v>1191</v>
      </c>
    </row>
    <row r="104" spans="1:2" s="66" customFormat="1" ht="24" x14ac:dyDescent="0.25">
      <c r="A104" s="60" t="s">
        <v>1192</v>
      </c>
      <c r="B104" s="65" t="s">
        <v>1199</v>
      </c>
    </row>
    <row r="105" spans="1:2" s="66" customFormat="1" ht="24" x14ac:dyDescent="0.25">
      <c r="A105" s="60" t="s">
        <v>2003</v>
      </c>
      <c r="B105" s="65" t="s">
        <v>1200</v>
      </c>
    </row>
    <row r="106" spans="1:2" s="66" customFormat="1" ht="48" x14ac:dyDescent="0.25">
      <c r="A106" s="60" t="s">
        <v>2004</v>
      </c>
      <c r="B106" s="65" t="s">
        <v>1201</v>
      </c>
    </row>
    <row r="107" spans="1:2" s="66" customFormat="1" ht="48" x14ac:dyDescent="0.25">
      <c r="A107" s="60" t="s">
        <v>1193</v>
      </c>
      <c r="B107" s="65" t="s">
        <v>1194</v>
      </c>
    </row>
    <row r="108" spans="1:2" x14ac:dyDescent="0.2">
      <c r="A108" s="60" t="s">
        <v>1195</v>
      </c>
      <c r="B108" s="61" t="s">
        <v>1196</v>
      </c>
    </row>
    <row r="109" spans="1:2" ht="15" thickBot="1" x14ac:dyDescent="0.25">
      <c r="A109" s="69" t="s">
        <v>584</v>
      </c>
      <c r="B109" s="70" t="s">
        <v>1197</v>
      </c>
    </row>
  </sheetData>
  <sheetProtection formatCells="0" formatColumns="0" formatRows="0" insertColumns="0" insertRows="0" insertHyperlinks="0" deleteColumns="0" deleteRows="0" sort="0" autoFilter="0" pivotTables="0"/>
  <mergeCells count="1">
    <mergeCell ref="A1:B1"/>
  </mergeCells>
  <pageMargins left="1" right="1" top="0.75" bottom="0.75" header="0.3" footer="0.3"/>
  <pageSetup orientation="portrait" r:id="rId1"/>
  <headerFooter>
    <oddHeader>&amp;C&amp;"Arial,Bold"&amp;14MRL Definitions</oddHeader>
    <oddFooter>&amp;C&amp;P</oddFoot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G54"/>
  <sheetViews>
    <sheetView zoomScale="120" zoomScaleNormal="120" workbookViewId="0">
      <pane ySplit="1" topLeftCell="A2" activePane="bottomLeft" state="frozen"/>
      <selection activeCell="B62" sqref="B62"/>
      <selection pane="bottomLeft" activeCell="B26" sqref="B26"/>
    </sheetView>
  </sheetViews>
  <sheetFormatPr defaultColWidth="9.28515625" defaultRowHeight="15" x14ac:dyDescent="0.25"/>
  <cols>
    <col min="1" max="1" width="15.7109375" style="87" customWidth="1"/>
    <col min="2" max="2" width="30.7109375" style="73" customWidth="1"/>
    <col min="3" max="3" width="25.42578125" style="73" bestFit="1" customWidth="1"/>
    <col min="4" max="16384" width="9.28515625" style="2"/>
  </cols>
  <sheetData>
    <row r="1" spans="1:7" ht="12.75" x14ac:dyDescent="0.2">
      <c r="A1" s="92" t="s">
        <v>1879</v>
      </c>
      <c r="B1" s="92" t="s">
        <v>1880</v>
      </c>
      <c r="C1" s="93" t="s">
        <v>1881</v>
      </c>
      <c r="D1" s="39"/>
      <c r="E1" s="39"/>
      <c r="F1" s="39"/>
      <c r="G1" s="39"/>
    </row>
    <row r="2" spans="1:7" x14ac:dyDescent="0.25">
      <c r="A2" s="87" t="s">
        <v>541</v>
      </c>
      <c r="B2" s="88" t="s">
        <v>542</v>
      </c>
      <c r="C2" s="73" t="s">
        <v>1882</v>
      </c>
    </row>
    <row r="3" spans="1:7" x14ac:dyDescent="0.2">
      <c r="A3" s="87" t="s">
        <v>543</v>
      </c>
      <c r="B3" s="89" t="s">
        <v>1801</v>
      </c>
      <c r="C3" s="90" t="s">
        <v>1883</v>
      </c>
    </row>
    <row r="4" spans="1:7" ht="12.75" x14ac:dyDescent="0.2">
      <c r="A4" s="87" t="s">
        <v>68</v>
      </c>
      <c r="B4" s="88" t="s">
        <v>1884</v>
      </c>
      <c r="C4" s="90" t="s">
        <v>1885</v>
      </c>
    </row>
    <row r="5" spans="1:7" ht="12.75" x14ac:dyDescent="0.2">
      <c r="A5" s="87" t="s">
        <v>544</v>
      </c>
      <c r="B5" s="88" t="s">
        <v>1886</v>
      </c>
      <c r="C5" s="90"/>
    </row>
    <row r="6" spans="1:7" ht="12.75" x14ac:dyDescent="0.2">
      <c r="A6" s="87" t="s">
        <v>77</v>
      </c>
      <c r="B6" s="88" t="s">
        <v>545</v>
      </c>
      <c r="C6" s="90" t="s">
        <v>1885</v>
      </c>
    </row>
    <row r="7" spans="1:7" x14ac:dyDescent="0.25">
      <c r="A7" s="87" t="s">
        <v>1802</v>
      </c>
      <c r="B7" s="88" t="s">
        <v>1803</v>
      </c>
    </row>
    <row r="8" spans="1:7" x14ac:dyDescent="0.25">
      <c r="A8" s="87" t="s">
        <v>1804</v>
      </c>
      <c r="B8" s="88" t="s">
        <v>1887</v>
      </c>
    </row>
    <row r="9" spans="1:7" ht="25.5" x14ac:dyDescent="0.2">
      <c r="A9" s="87" t="s">
        <v>547</v>
      </c>
      <c r="B9" s="88" t="s">
        <v>1888</v>
      </c>
      <c r="C9" s="90" t="s">
        <v>1889</v>
      </c>
    </row>
    <row r="10" spans="1:7" ht="38.25" x14ac:dyDescent="0.25">
      <c r="A10" s="87" t="s">
        <v>548</v>
      </c>
      <c r="B10" s="88" t="s">
        <v>1890</v>
      </c>
      <c r="C10" s="73" t="s">
        <v>1882</v>
      </c>
    </row>
    <row r="11" spans="1:7" x14ac:dyDescent="0.25">
      <c r="A11" s="87" t="s">
        <v>1805</v>
      </c>
      <c r="B11" s="88" t="s">
        <v>1891</v>
      </c>
    </row>
    <row r="12" spans="1:7" x14ac:dyDescent="0.25">
      <c r="A12" s="87" t="s">
        <v>2140</v>
      </c>
      <c r="B12" s="88" t="s">
        <v>2141</v>
      </c>
    </row>
    <row r="13" spans="1:7" ht="25.5" x14ac:dyDescent="0.2">
      <c r="A13" s="87" t="s">
        <v>1812</v>
      </c>
      <c r="B13" s="88" t="s">
        <v>1892</v>
      </c>
      <c r="C13" s="90" t="s">
        <v>1893</v>
      </c>
    </row>
    <row r="14" spans="1:7" ht="25.5" x14ac:dyDescent="0.25">
      <c r="A14" s="87" t="s">
        <v>1257</v>
      </c>
      <c r="B14" s="88" t="s">
        <v>1894</v>
      </c>
    </row>
    <row r="15" spans="1:7" x14ac:dyDescent="0.25">
      <c r="A15" s="87" t="s">
        <v>549</v>
      </c>
      <c r="B15" s="89" t="s">
        <v>2142</v>
      </c>
      <c r="C15" s="73" t="s">
        <v>1882</v>
      </c>
    </row>
    <row r="16" spans="1:7" x14ac:dyDescent="0.25">
      <c r="A16" s="87" t="s">
        <v>550</v>
      </c>
      <c r="B16" s="89" t="s">
        <v>551</v>
      </c>
    </row>
    <row r="17" spans="1:3" x14ac:dyDescent="0.25">
      <c r="A17" s="87" t="s">
        <v>2122</v>
      </c>
      <c r="B17" s="89" t="s">
        <v>2123</v>
      </c>
    </row>
    <row r="18" spans="1:3" x14ac:dyDescent="0.25">
      <c r="A18" s="87" t="s">
        <v>1259</v>
      </c>
      <c r="B18" s="88" t="s">
        <v>1895</v>
      </c>
    </row>
    <row r="19" spans="1:3" x14ac:dyDescent="0.25">
      <c r="A19" s="87" t="s">
        <v>552</v>
      </c>
      <c r="B19" s="88" t="s">
        <v>553</v>
      </c>
    </row>
    <row r="20" spans="1:3" x14ac:dyDescent="0.25">
      <c r="A20" s="87" t="s">
        <v>554</v>
      </c>
      <c r="B20" s="88" t="s">
        <v>555</v>
      </c>
    </row>
    <row r="21" spans="1:3" ht="12.75" x14ac:dyDescent="0.2">
      <c r="A21" s="87" t="s">
        <v>556</v>
      </c>
      <c r="B21" s="88" t="s">
        <v>557</v>
      </c>
      <c r="C21" s="90" t="s">
        <v>1896</v>
      </c>
    </row>
    <row r="22" spans="1:3" x14ac:dyDescent="0.25">
      <c r="A22" s="87" t="s">
        <v>558</v>
      </c>
      <c r="B22" s="88" t="s">
        <v>559</v>
      </c>
    </row>
    <row r="23" spans="1:3" x14ac:dyDescent="0.25">
      <c r="A23" s="87" t="s">
        <v>561</v>
      </c>
      <c r="B23" s="89" t="s">
        <v>2143</v>
      </c>
      <c r="C23" s="73" t="s">
        <v>1882</v>
      </c>
    </row>
    <row r="24" spans="1:3" x14ac:dyDescent="0.25">
      <c r="A24" s="87" t="s">
        <v>1806</v>
      </c>
      <c r="B24" s="89" t="s">
        <v>1807</v>
      </c>
      <c r="C24" s="73" t="s">
        <v>1882</v>
      </c>
    </row>
    <row r="25" spans="1:3" x14ac:dyDescent="0.25">
      <c r="A25" s="87" t="s">
        <v>2108</v>
      </c>
      <c r="B25" s="89" t="s">
        <v>2109</v>
      </c>
    </row>
    <row r="26" spans="1:3" x14ac:dyDescent="0.2">
      <c r="A26" s="87" t="s">
        <v>563</v>
      </c>
      <c r="B26" s="89" t="s">
        <v>564</v>
      </c>
      <c r="C26" s="90" t="s">
        <v>1897</v>
      </c>
    </row>
    <row r="27" spans="1:3" x14ac:dyDescent="0.25">
      <c r="A27" s="87" t="s">
        <v>1898</v>
      </c>
      <c r="B27" s="88" t="s">
        <v>1899</v>
      </c>
      <c r="C27" s="73" t="s">
        <v>1882</v>
      </c>
    </row>
    <row r="28" spans="1:3" x14ac:dyDescent="0.25">
      <c r="A28" s="87" t="s">
        <v>1900</v>
      </c>
      <c r="B28" s="88" t="s">
        <v>1901</v>
      </c>
      <c r="C28" s="73" t="s">
        <v>1882</v>
      </c>
    </row>
    <row r="29" spans="1:3" x14ac:dyDescent="0.25">
      <c r="A29" s="87" t="s">
        <v>1902</v>
      </c>
      <c r="B29" s="88" t="s">
        <v>1903</v>
      </c>
      <c r="C29" s="73" t="s">
        <v>1882</v>
      </c>
    </row>
    <row r="30" spans="1:3" ht="25.5" x14ac:dyDescent="0.25">
      <c r="A30" s="87" t="s">
        <v>565</v>
      </c>
      <c r="B30" s="88" t="s">
        <v>1904</v>
      </c>
      <c r="C30" s="73" t="s">
        <v>1882</v>
      </c>
    </row>
    <row r="31" spans="1:3" ht="25.5" x14ac:dyDescent="0.25">
      <c r="A31" s="87" t="s">
        <v>566</v>
      </c>
      <c r="B31" s="88" t="s">
        <v>1905</v>
      </c>
      <c r="C31" s="73" t="s">
        <v>1882</v>
      </c>
    </row>
    <row r="32" spans="1:3" ht="12.75" x14ac:dyDescent="0.2">
      <c r="A32" s="87" t="s">
        <v>1906</v>
      </c>
      <c r="B32" s="88" t="s">
        <v>1907</v>
      </c>
      <c r="C32" s="90" t="s">
        <v>1908</v>
      </c>
    </row>
    <row r="33" spans="1:3" ht="12.75" x14ac:dyDescent="0.2">
      <c r="A33" s="87" t="s">
        <v>82</v>
      </c>
      <c r="B33" s="88" t="s">
        <v>1909</v>
      </c>
      <c r="C33" s="90" t="s">
        <v>1885</v>
      </c>
    </row>
    <row r="34" spans="1:3" ht="12.75" x14ac:dyDescent="0.2">
      <c r="A34" s="87" t="s">
        <v>74</v>
      </c>
      <c r="B34" s="88" t="s">
        <v>567</v>
      </c>
      <c r="C34" s="90" t="s">
        <v>1885</v>
      </c>
    </row>
    <row r="35" spans="1:3" ht="25.5" x14ac:dyDescent="0.25">
      <c r="A35" s="87" t="s">
        <v>1910</v>
      </c>
      <c r="B35" s="88" t="s">
        <v>1911</v>
      </c>
      <c r="C35" s="73" t="s">
        <v>1882</v>
      </c>
    </row>
    <row r="36" spans="1:3" ht="12.75" x14ac:dyDescent="0.2">
      <c r="A36" s="87" t="s">
        <v>568</v>
      </c>
      <c r="B36" s="88" t="s">
        <v>569</v>
      </c>
      <c r="C36" s="90" t="s">
        <v>1885</v>
      </c>
    </row>
    <row r="37" spans="1:3" ht="12.75" x14ac:dyDescent="0.2">
      <c r="A37" s="87" t="s">
        <v>2114</v>
      </c>
      <c r="B37" s="88" t="s">
        <v>2115</v>
      </c>
      <c r="C37" s="90"/>
    </row>
    <row r="38" spans="1:3" x14ac:dyDescent="0.25">
      <c r="A38" s="87" t="s">
        <v>570</v>
      </c>
      <c r="B38" s="89" t="s">
        <v>571</v>
      </c>
      <c r="C38" s="73" t="s">
        <v>1912</v>
      </c>
    </row>
    <row r="39" spans="1:3" x14ac:dyDescent="0.25">
      <c r="A39" s="87" t="s">
        <v>572</v>
      </c>
      <c r="B39" s="89" t="s">
        <v>1913</v>
      </c>
      <c r="C39" s="73" t="s">
        <v>1882</v>
      </c>
    </row>
    <row r="40" spans="1:3" ht="12.75" x14ac:dyDescent="0.2">
      <c r="A40" s="87" t="s">
        <v>573</v>
      </c>
      <c r="B40" s="88" t="s">
        <v>2106</v>
      </c>
      <c r="C40" s="90" t="s">
        <v>1885</v>
      </c>
    </row>
    <row r="41" spans="1:3" x14ac:dyDescent="0.25">
      <c r="A41" s="87" t="s">
        <v>574</v>
      </c>
      <c r="B41" s="89" t="s">
        <v>575</v>
      </c>
      <c r="C41" s="73" t="s">
        <v>1914</v>
      </c>
    </row>
    <row r="42" spans="1:3" x14ac:dyDescent="0.25">
      <c r="A42" s="87" t="s">
        <v>576</v>
      </c>
      <c r="B42" s="88" t="s">
        <v>577</v>
      </c>
    </row>
    <row r="43" spans="1:3" ht="12.75" x14ac:dyDescent="0.2">
      <c r="A43" s="87" t="s">
        <v>578</v>
      </c>
      <c r="B43" s="88" t="s">
        <v>579</v>
      </c>
      <c r="C43" s="90" t="s">
        <v>1885</v>
      </c>
    </row>
    <row r="44" spans="1:3" x14ac:dyDescent="0.25">
      <c r="A44" s="87" t="s">
        <v>580</v>
      </c>
      <c r="B44" s="89" t="s">
        <v>581</v>
      </c>
      <c r="C44" s="73" t="s">
        <v>1914</v>
      </c>
    </row>
    <row r="45" spans="1:3" ht="12.75" x14ac:dyDescent="0.2">
      <c r="A45" s="87" t="s">
        <v>582</v>
      </c>
      <c r="B45" s="88" t="s">
        <v>583</v>
      </c>
      <c r="C45" s="90" t="s">
        <v>1885</v>
      </c>
    </row>
    <row r="46" spans="1:3" x14ac:dyDescent="0.25">
      <c r="A46" s="87" t="s">
        <v>1915</v>
      </c>
      <c r="B46" s="89" t="s">
        <v>1916</v>
      </c>
    </row>
    <row r="47" spans="1:3" ht="25.5" x14ac:dyDescent="0.25">
      <c r="A47" s="87" t="s">
        <v>1258</v>
      </c>
      <c r="B47" s="88" t="s">
        <v>1917</v>
      </c>
      <c r="C47" s="73" t="s">
        <v>1882</v>
      </c>
    </row>
    <row r="48" spans="1:3" x14ac:dyDescent="0.25">
      <c r="A48" s="87" t="s">
        <v>585</v>
      </c>
      <c r="B48" s="88" t="s">
        <v>2111</v>
      </c>
    </row>
    <row r="49" spans="2:2" x14ac:dyDescent="0.25">
      <c r="B49" s="91"/>
    </row>
    <row r="50" spans="2:2" x14ac:dyDescent="0.25">
      <c r="B50" s="91"/>
    </row>
    <row r="51" spans="2:2" x14ac:dyDescent="0.25">
      <c r="B51" s="91"/>
    </row>
    <row r="52" spans="2:2" x14ac:dyDescent="0.25">
      <c r="B52" s="91"/>
    </row>
    <row r="53" spans="2:2" x14ac:dyDescent="0.25">
      <c r="B53" s="91"/>
    </row>
    <row r="54" spans="2:2" x14ac:dyDescent="0.25">
      <c r="B54" s="91"/>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pageSetUpPr fitToPage="1"/>
  </sheetPr>
  <dimension ref="A1:L29"/>
  <sheetViews>
    <sheetView showGridLines="0" zoomScaleNormal="100" zoomScaleSheetLayoutView="50" zoomScalePageLayoutView="25" workbookViewId="0">
      <selection activeCell="B62" sqref="B62"/>
    </sheetView>
  </sheetViews>
  <sheetFormatPr defaultColWidth="9.28515625" defaultRowHeight="12.75" x14ac:dyDescent="0.2"/>
  <cols>
    <col min="1" max="1" width="15.5703125" style="77" customWidth="1"/>
    <col min="2" max="2" width="18.7109375" style="76" customWidth="1"/>
    <col min="3" max="5" width="34.7109375" style="76" customWidth="1"/>
    <col min="6" max="10" width="34.7109375" style="78" customWidth="1"/>
    <col min="11" max="12" width="34.7109375" style="79" customWidth="1"/>
    <col min="13" max="16384" width="9.28515625" style="131"/>
  </cols>
  <sheetData>
    <row r="1" spans="1:12" s="79" customFormat="1" ht="18" customHeight="1" x14ac:dyDescent="0.25">
      <c r="A1" s="190" t="s">
        <v>1808</v>
      </c>
      <c r="B1" s="191"/>
      <c r="C1" s="126"/>
      <c r="D1" s="126"/>
      <c r="E1" s="126"/>
      <c r="F1" s="126"/>
      <c r="G1" s="126"/>
      <c r="H1" s="126"/>
      <c r="I1" s="126"/>
      <c r="J1" s="126"/>
      <c r="K1" s="126"/>
      <c r="L1" s="127"/>
    </row>
    <row r="2" spans="1:12" s="79" customFormat="1" ht="18" customHeight="1" x14ac:dyDescent="0.25">
      <c r="A2" s="187" t="s">
        <v>25</v>
      </c>
      <c r="B2" s="188"/>
      <c r="C2" s="188"/>
      <c r="D2" s="188"/>
      <c r="E2" s="188"/>
      <c r="F2" s="188"/>
      <c r="G2" s="188"/>
      <c r="H2" s="188"/>
      <c r="I2" s="188"/>
      <c r="J2" s="188"/>
      <c r="K2" s="188"/>
      <c r="L2" s="189"/>
    </row>
    <row r="3" spans="1:12" s="128" customFormat="1" ht="39" customHeight="1" x14ac:dyDescent="0.25">
      <c r="A3" s="195" t="s">
        <v>38</v>
      </c>
      <c r="B3" s="195"/>
      <c r="C3" s="195" t="s">
        <v>41</v>
      </c>
      <c r="D3" s="195"/>
      <c r="E3" s="195"/>
      <c r="F3" s="94" t="s">
        <v>45</v>
      </c>
      <c r="G3" s="196" t="s">
        <v>48</v>
      </c>
      <c r="H3" s="196"/>
      <c r="I3" s="197" t="s">
        <v>52</v>
      </c>
      <c r="J3" s="197"/>
      <c r="K3" s="95" t="s">
        <v>56</v>
      </c>
      <c r="L3" s="95" t="s">
        <v>59</v>
      </c>
    </row>
    <row r="4" spans="1:12" s="128" customFormat="1" ht="39" customHeight="1" x14ac:dyDescent="0.25">
      <c r="A4" s="195" t="s">
        <v>62</v>
      </c>
      <c r="B4" s="195"/>
      <c r="C4" s="96"/>
      <c r="D4" s="96"/>
      <c r="E4" s="96"/>
      <c r="F4" s="96" t="s">
        <v>68</v>
      </c>
      <c r="G4" s="96" t="s">
        <v>71</v>
      </c>
      <c r="H4" s="96" t="s">
        <v>74</v>
      </c>
      <c r="I4" s="96" t="s">
        <v>77</v>
      </c>
      <c r="J4" s="96" t="s">
        <v>79</v>
      </c>
      <c r="K4" s="96" t="s">
        <v>82</v>
      </c>
      <c r="L4" s="97"/>
    </row>
    <row r="5" spans="1:12" s="128" customFormat="1" ht="18.600000000000001" customHeight="1" x14ac:dyDescent="0.25">
      <c r="A5" s="98" t="s">
        <v>85</v>
      </c>
      <c r="B5" s="98" t="s">
        <v>87</v>
      </c>
      <c r="C5" s="98" t="s">
        <v>89</v>
      </c>
      <c r="D5" s="98" t="s">
        <v>92</v>
      </c>
      <c r="E5" s="98" t="s">
        <v>95</v>
      </c>
      <c r="F5" s="98" t="s">
        <v>98</v>
      </c>
      <c r="G5" s="98" t="s">
        <v>101</v>
      </c>
      <c r="H5" s="98" t="s">
        <v>103</v>
      </c>
      <c r="I5" s="98" t="s">
        <v>105</v>
      </c>
      <c r="J5" s="98" t="s">
        <v>107</v>
      </c>
      <c r="K5" s="98" t="s">
        <v>109</v>
      </c>
      <c r="L5" s="98" t="s">
        <v>111</v>
      </c>
    </row>
    <row r="6" spans="1:12" s="129" customFormat="1" ht="25.5" x14ac:dyDescent="0.25">
      <c r="A6" s="199"/>
      <c r="B6" s="99" t="s">
        <v>114</v>
      </c>
      <c r="C6" s="100" t="s">
        <v>116</v>
      </c>
      <c r="D6" s="100" t="s">
        <v>118</v>
      </c>
      <c r="E6" s="100" t="s">
        <v>120</v>
      </c>
      <c r="F6" s="101" t="s">
        <v>122</v>
      </c>
      <c r="G6" s="102" t="s">
        <v>124</v>
      </c>
      <c r="H6" s="102" t="s">
        <v>126</v>
      </c>
      <c r="I6" s="103" t="s">
        <v>128</v>
      </c>
      <c r="J6" s="103" t="s">
        <v>1935</v>
      </c>
      <c r="K6" s="104" t="s">
        <v>132</v>
      </c>
      <c r="L6" s="104" t="s">
        <v>132</v>
      </c>
    </row>
    <row r="7" spans="1:12" s="130" customFormat="1" ht="89.25" x14ac:dyDescent="0.2">
      <c r="A7" s="200"/>
      <c r="B7" s="99" t="s">
        <v>137</v>
      </c>
      <c r="C7" s="105" t="s">
        <v>1527</v>
      </c>
      <c r="D7" s="105" t="s">
        <v>1564</v>
      </c>
      <c r="E7" s="106" t="s">
        <v>1596</v>
      </c>
      <c r="F7" s="107" t="s">
        <v>1809</v>
      </c>
      <c r="G7" s="108" t="s">
        <v>1810</v>
      </c>
      <c r="H7" s="102" t="s">
        <v>2102</v>
      </c>
      <c r="I7" s="109" t="s">
        <v>2103</v>
      </c>
      <c r="J7" s="103" t="s">
        <v>1814</v>
      </c>
      <c r="K7" s="104" t="s">
        <v>1815</v>
      </c>
      <c r="L7" s="104" t="s">
        <v>1816</v>
      </c>
    </row>
    <row r="8" spans="1:12" s="130" customFormat="1" ht="63.75" x14ac:dyDescent="0.2">
      <c r="A8" s="201"/>
      <c r="B8" s="99" t="s">
        <v>150</v>
      </c>
      <c r="C8" s="105" t="s">
        <v>1529</v>
      </c>
      <c r="D8" s="105" t="s">
        <v>1565</v>
      </c>
      <c r="E8" s="106" t="s">
        <v>1597</v>
      </c>
      <c r="F8" s="101" t="s">
        <v>1630</v>
      </c>
      <c r="G8" s="102" t="s">
        <v>1262</v>
      </c>
      <c r="H8" s="102" t="s">
        <v>2007</v>
      </c>
      <c r="I8" s="103" t="s">
        <v>2031</v>
      </c>
      <c r="J8" s="103" t="s">
        <v>1332</v>
      </c>
      <c r="K8" s="104" t="s">
        <v>160</v>
      </c>
      <c r="L8" s="104" t="s">
        <v>162</v>
      </c>
    </row>
    <row r="9" spans="1:12" s="130" customFormat="1" ht="165.75" x14ac:dyDescent="0.2">
      <c r="A9" s="202" t="s">
        <v>164</v>
      </c>
      <c r="B9" s="99" t="s">
        <v>167</v>
      </c>
      <c r="C9" s="106" t="s">
        <v>1531</v>
      </c>
      <c r="D9" s="106" t="s">
        <v>1567</v>
      </c>
      <c r="E9" s="106" t="s">
        <v>1599</v>
      </c>
      <c r="F9" s="101" t="s">
        <v>1631</v>
      </c>
      <c r="G9" s="102" t="s">
        <v>1300</v>
      </c>
      <c r="H9" s="102" t="s">
        <v>1312</v>
      </c>
      <c r="I9" s="103" t="s">
        <v>1818</v>
      </c>
      <c r="J9" s="103" t="s">
        <v>1263</v>
      </c>
      <c r="K9" s="104" t="s">
        <v>1347</v>
      </c>
      <c r="L9" s="104" t="s">
        <v>178</v>
      </c>
    </row>
    <row r="10" spans="1:12" s="130" customFormat="1" ht="153" x14ac:dyDescent="0.2">
      <c r="A10" s="203"/>
      <c r="B10" s="99" t="s">
        <v>181</v>
      </c>
      <c r="C10" s="105" t="s">
        <v>1533</v>
      </c>
      <c r="D10" s="105" t="s">
        <v>1569</v>
      </c>
      <c r="E10" s="106" t="s">
        <v>1601</v>
      </c>
      <c r="F10" s="101" t="s">
        <v>1633</v>
      </c>
      <c r="G10" s="102" t="s">
        <v>2110</v>
      </c>
      <c r="H10" s="102" t="s">
        <v>1313</v>
      </c>
      <c r="I10" s="103" t="s">
        <v>1264</v>
      </c>
      <c r="J10" s="103" t="s">
        <v>1819</v>
      </c>
      <c r="K10" s="104" t="s">
        <v>1820</v>
      </c>
      <c r="L10" s="104" t="s">
        <v>1821</v>
      </c>
    </row>
    <row r="11" spans="1:12" s="130" customFormat="1" ht="114.75" x14ac:dyDescent="0.2">
      <c r="A11" s="202" t="s">
        <v>193</v>
      </c>
      <c r="B11" s="110" t="s">
        <v>196</v>
      </c>
      <c r="C11" s="105" t="s">
        <v>1535</v>
      </c>
      <c r="D11" s="105" t="s">
        <v>199</v>
      </c>
      <c r="E11" s="106" t="s">
        <v>1603</v>
      </c>
      <c r="F11" s="101" t="s">
        <v>1634</v>
      </c>
      <c r="G11" s="102" t="s">
        <v>2009</v>
      </c>
      <c r="H11" s="102" t="s">
        <v>1314</v>
      </c>
      <c r="I11" s="103" t="s">
        <v>205</v>
      </c>
      <c r="J11" s="103" t="s">
        <v>1265</v>
      </c>
      <c r="K11" s="104" t="s">
        <v>208</v>
      </c>
      <c r="L11" s="104" t="s">
        <v>210</v>
      </c>
    </row>
    <row r="12" spans="1:12" s="130" customFormat="1" ht="102" x14ac:dyDescent="0.2">
      <c r="A12" s="203"/>
      <c r="B12" s="110" t="s">
        <v>213</v>
      </c>
      <c r="C12" s="105" t="s">
        <v>1537</v>
      </c>
      <c r="D12" s="105" t="s">
        <v>1571</v>
      </c>
      <c r="E12" s="106" t="s">
        <v>1605</v>
      </c>
      <c r="F12" s="101" t="s">
        <v>1636</v>
      </c>
      <c r="G12" s="102" t="s">
        <v>1301</v>
      </c>
      <c r="H12" s="102" t="s">
        <v>1266</v>
      </c>
      <c r="I12" s="103" t="s">
        <v>1323</v>
      </c>
      <c r="J12" s="103" t="s">
        <v>1333</v>
      </c>
      <c r="K12" s="104" t="s">
        <v>1348</v>
      </c>
      <c r="L12" s="104" t="s">
        <v>224</v>
      </c>
    </row>
    <row r="13" spans="1:12" s="130" customFormat="1" ht="114.75" x14ac:dyDescent="0.2">
      <c r="A13" s="203"/>
      <c r="B13" s="110" t="s">
        <v>227</v>
      </c>
      <c r="C13" s="105" t="s">
        <v>1538</v>
      </c>
      <c r="D13" s="105" t="s">
        <v>1573</v>
      </c>
      <c r="E13" s="106" t="s">
        <v>1607</v>
      </c>
      <c r="F13" s="101" t="s">
        <v>2012</v>
      </c>
      <c r="G13" s="102" t="s">
        <v>1823</v>
      </c>
      <c r="H13" s="102" t="s">
        <v>1824</v>
      </c>
      <c r="I13" s="103" t="s">
        <v>1825</v>
      </c>
      <c r="J13" s="103" t="s">
        <v>1826</v>
      </c>
      <c r="K13" s="104" t="s">
        <v>1827</v>
      </c>
      <c r="L13" s="104" t="s">
        <v>238</v>
      </c>
    </row>
    <row r="14" spans="1:12" s="130" customFormat="1" ht="76.5" customHeight="1" x14ac:dyDescent="0.2">
      <c r="A14" s="202" t="s">
        <v>240</v>
      </c>
      <c r="B14" s="111" t="s">
        <v>243</v>
      </c>
      <c r="C14" s="106" t="s">
        <v>1539</v>
      </c>
      <c r="D14" s="106" t="s">
        <v>1574</v>
      </c>
      <c r="E14" s="106" t="s">
        <v>1608</v>
      </c>
      <c r="F14" s="101" t="s">
        <v>1638</v>
      </c>
      <c r="G14" s="102" t="s">
        <v>1302</v>
      </c>
      <c r="H14" s="102" t="s">
        <v>1315</v>
      </c>
      <c r="I14" s="103" t="s">
        <v>251</v>
      </c>
      <c r="J14" s="103" t="s">
        <v>1334</v>
      </c>
      <c r="K14" s="104" t="s">
        <v>254</v>
      </c>
      <c r="L14" s="104" t="s">
        <v>1267</v>
      </c>
    </row>
    <row r="15" spans="1:12" s="130" customFormat="1" ht="114.75" x14ac:dyDescent="0.2">
      <c r="A15" s="203"/>
      <c r="B15" s="111" t="s">
        <v>258</v>
      </c>
      <c r="C15" s="100" t="s">
        <v>1540</v>
      </c>
      <c r="D15" s="100" t="s">
        <v>1576</v>
      </c>
      <c r="E15" s="100" t="s">
        <v>1610</v>
      </c>
      <c r="F15" s="101" t="s">
        <v>1828</v>
      </c>
      <c r="G15" s="102" t="s">
        <v>1829</v>
      </c>
      <c r="H15" s="112" t="s">
        <v>1830</v>
      </c>
      <c r="I15" s="113" t="s">
        <v>1831</v>
      </c>
      <c r="J15" s="113" t="s">
        <v>1832</v>
      </c>
      <c r="K15" s="104" t="s">
        <v>1833</v>
      </c>
      <c r="L15" s="104" t="s">
        <v>1834</v>
      </c>
    </row>
    <row r="16" spans="1:12" s="130" customFormat="1" ht="153" x14ac:dyDescent="0.2">
      <c r="A16" s="203"/>
      <c r="B16" s="111" t="s">
        <v>271</v>
      </c>
      <c r="C16" s="105" t="s">
        <v>1541</v>
      </c>
      <c r="D16" s="106" t="s">
        <v>1578</v>
      </c>
      <c r="E16" s="106" t="s">
        <v>1611</v>
      </c>
      <c r="F16" s="101" t="s">
        <v>1836</v>
      </c>
      <c r="G16" s="102" t="s">
        <v>1838</v>
      </c>
      <c r="H16" s="102" t="s">
        <v>2117</v>
      </c>
      <c r="I16" s="103" t="s">
        <v>2118</v>
      </c>
      <c r="J16" s="103" t="s">
        <v>2119</v>
      </c>
      <c r="K16" s="104" t="s">
        <v>281</v>
      </c>
      <c r="L16" s="104" t="s">
        <v>2121</v>
      </c>
    </row>
    <row r="17" spans="1:12" s="130" customFormat="1" ht="153" x14ac:dyDescent="0.2">
      <c r="A17" s="204"/>
      <c r="B17" s="111" t="s">
        <v>285</v>
      </c>
      <c r="C17" s="114" t="s">
        <v>1543</v>
      </c>
      <c r="D17" s="114" t="s">
        <v>1579</v>
      </c>
      <c r="E17" s="106" t="s">
        <v>1268</v>
      </c>
      <c r="F17" s="101" t="s">
        <v>1640</v>
      </c>
      <c r="G17" s="102" t="s">
        <v>2015</v>
      </c>
      <c r="H17" s="102" t="s">
        <v>2125</v>
      </c>
      <c r="I17" s="103" t="s">
        <v>2034</v>
      </c>
      <c r="J17" s="103" t="s">
        <v>1841</v>
      </c>
      <c r="K17" s="104" t="s">
        <v>1842</v>
      </c>
      <c r="L17" s="104" t="s">
        <v>2126</v>
      </c>
    </row>
    <row r="18" spans="1:12" s="130" customFormat="1" ht="76.5" customHeight="1" x14ac:dyDescent="0.2">
      <c r="A18" s="205" t="s">
        <v>297</v>
      </c>
      <c r="B18" s="115" t="s">
        <v>300</v>
      </c>
      <c r="C18" s="105" t="s">
        <v>1545</v>
      </c>
      <c r="D18" s="105" t="s">
        <v>1580</v>
      </c>
      <c r="E18" s="106" t="s">
        <v>1613</v>
      </c>
      <c r="F18" s="101" t="s">
        <v>1641</v>
      </c>
      <c r="G18" s="102" t="s">
        <v>1269</v>
      </c>
      <c r="H18" s="102" t="s">
        <v>1270</v>
      </c>
      <c r="I18" s="103" t="s">
        <v>1271</v>
      </c>
      <c r="J18" s="103" t="s">
        <v>1272</v>
      </c>
      <c r="K18" s="104" t="s">
        <v>1350</v>
      </c>
      <c r="L18" s="104" t="s">
        <v>1359</v>
      </c>
    </row>
    <row r="19" spans="1:12" s="130" customFormat="1" ht="89.25" x14ac:dyDescent="0.2">
      <c r="A19" s="206"/>
      <c r="B19" s="115" t="s">
        <v>313</v>
      </c>
      <c r="C19" s="105" t="s">
        <v>1546</v>
      </c>
      <c r="D19" s="106" t="s">
        <v>1581</v>
      </c>
      <c r="E19" s="106" t="s">
        <v>1615</v>
      </c>
      <c r="F19" s="101" t="s">
        <v>1643</v>
      </c>
      <c r="G19" s="102" t="s">
        <v>1307</v>
      </c>
      <c r="H19" s="102" t="s">
        <v>1317</v>
      </c>
      <c r="I19" s="103" t="s">
        <v>2036</v>
      </c>
      <c r="J19" s="103" t="s">
        <v>1338</v>
      </c>
      <c r="K19" s="104" t="s">
        <v>323</v>
      </c>
      <c r="L19" s="104" t="s">
        <v>325</v>
      </c>
    </row>
    <row r="20" spans="1:12" s="130" customFormat="1" ht="76.5" x14ac:dyDescent="0.2">
      <c r="A20" s="206"/>
      <c r="B20" s="115" t="s">
        <v>328</v>
      </c>
      <c r="C20" s="105" t="s">
        <v>1548</v>
      </c>
      <c r="D20" s="105" t="s">
        <v>1582</v>
      </c>
      <c r="E20" s="106" t="s">
        <v>332</v>
      </c>
      <c r="F20" s="101" t="s">
        <v>1645</v>
      </c>
      <c r="G20" s="102" t="s">
        <v>335</v>
      </c>
      <c r="H20" s="102" t="s">
        <v>337</v>
      </c>
      <c r="I20" s="103" t="s">
        <v>339</v>
      </c>
      <c r="J20" s="103" t="s">
        <v>1843</v>
      </c>
      <c r="K20" s="104" t="s">
        <v>1844</v>
      </c>
      <c r="L20" s="104" t="s">
        <v>1845</v>
      </c>
    </row>
    <row r="21" spans="1:12" s="130" customFormat="1" ht="76.5" x14ac:dyDescent="0.2">
      <c r="A21" s="202" t="s">
        <v>344</v>
      </c>
      <c r="B21" s="116" t="s">
        <v>347</v>
      </c>
      <c r="C21" s="84" t="s">
        <v>1550</v>
      </c>
      <c r="D21" s="84" t="s">
        <v>1583</v>
      </c>
      <c r="E21" s="84" t="s">
        <v>1616</v>
      </c>
      <c r="F21" s="101" t="s">
        <v>1646</v>
      </c>
      <c r="G21" s="102" t="s">
        <v>1309</v>
      </c>
      <c r="H21" s="102" t="s">
        <v>1318</v>
      </c>
      <c r="I21" s="103" t="s">
        <v>1325</v>
      </c>
      <c r="J21" s="103" t="s">
        <v>1274</v>
      </c>
      <c r="K21" s="104" t="s">
        <v>1351</v>
      </c>
      <c r="L21" s="104" t="s">
        <v>358</v>
      </c>
    </row>
    <row r="22" spans="1:12" s="130" customFormat="1" ht="102" x14ac:dyDescent="0.2">
      <c r="A22" s="203"/>
      <c r="B22" s="49" t="s">
        <v>361</v>
      </c>
      <c r="C22" s="106" t="s">
        <v>1552</v>
      </c>
      <c r="D22" s="106" t="s">
        <v>1585</v>
      </c>
      <c r="E22" s="106" t="s">
        <v>1618</v>
      </c>
      <c r="F22" s="117" t="s">
        <v>1648</v>
      </c>
      <c r="G22" s="102" t="s">
        <v>367</v>
      </c>
      <c r="H22" s="102" t="s">
        <v>1847</v>
      </c>
      <c r="I22" s="103" t="s">
        <v>2132</v>
      </c>
      <c r="J22" s="103" t="s">
        <v>2133</v>
      </c>
      <c r="K22" s="104" t="s">
        <v>1275</v>
      </c>
      <c r="L22" s="104" t="s">
        <v>1276</v>
      </c>
    </row>
    <row r="23" spans="1:12" s="130" customFormat="1" ht="127.5" x14ac:dyDescent="0.2">
      <c r="A23" s="204"/>
      <c r="B23" s="49" t="s">
        <v>375</v>
      </c>
      <c r="C23" s="106" t="s">
        <v>1553</v>
      </c>
      <c r="D23" s="106" t="s">
        <v>1586</v>
      </c>
      <c r="E23" s="106" t="s">
        <v>1619</v>
      </c>
      <c r="F23" s="101" t="s">
        <v>2137</v>
      </c>
      <c r="G23" s="102" t="s">
        <v>2257</v>
      </c>
      <c r="H23" s="102" t="s">
        <v>2138</v>
      </c>
      <c r="I23" s="103" t="s">
        <v>2139</v>
      </c>
      <c r="J23" s="103" t="s">
        <v>1277</v>
      </c>
      <c r="K23" s="104" t="s">
        <v>1352</v>
      </c>
      <c r="L23" s="104" t="s">
        <v>1361</v>
      </c>
    </row>
    <row r="24" spans="1:12" s="130" customFormat="1" ht="102" x14ac:dyDescent="0.2">
      <c r="A24" s="118" t="s">
        <v>387</v>
      </c>
      <c r="B24" s="119" t="s">
        <v>390</v>
      </c>
      <c r="C24" s="105" t="s">
        <v>1555</v>
      </c>
      <c r="D24" s="105" t="s">
        <v>1588</v>
      </c>
      <c r="E24" s="106" t="s">
        <v>1620</v>
      </c>
      <c r="F24" s="101" t="s">
        <v>1649</v>
      </c>
      <c r="G24" s="102" t="s">
        <v>396</v>
      </c>
      <c r="H24" s="102" t="s">
        <v>2022</v>
      </c>
      <c r="I24" s="103" t="s">
        <v>2039</v>
      </c>
      <c r="J24" s="103" t="s">
        <v>1342</v>
      </c>
      <c r="K24" s="104" t="s">
        <v>1278</v>
      </c>
      <c r="L24" s="104" t="s">
        <v>1362</v>
      </c>
    </row>
    <row r="25" spans="1:12" s="130" customFormat="1" ht="89.25" x14ac:dyDescent="0.2">
      <c r="A25" s="198" t="s">
        <v>403</v>
      </c>
      <c r="B25" s="120" t="s">
        <v>406</v>
      </c>
      <c r="C25" s="114" t="s">
        <v>1557</v>
      </c>
      <c r="D25" s="114" t="s">
        <v>1589</v>
      </c>
      <c r="E25" s="114" t="s">
        <v>1622</v>
      </c>
      <c r="F25" s="101" t="s">
        <v>1651</v>
      </c>
      <c r="G25" s="102" t="s">
        <v>1310</v>
      </c>
      <c r="H25" s="102" t="s">
        <v>1279</v>
      </c>
      <c r="I25" s="103" t="s">
        <v>1328</v>
      </c>
      <c r="J25" s="103" t="s">
        <v>415</v>
      </c>
      <c r="K25" s="104" t="s">
        <v>1354</v>
      </c>
      <c r="L25" s="104" t="s">
        <v>1363</v>
      </c>
    </row>
    <row r="26" spans="1:12" s="130" customFormat="1" ht="114.75" x14ac:dyDescent="0.2">
      <c r="A26" s="198"/>
      <c r="B26" s="111" t="s">
        <v>420</v>
      </c>
      <c r="C26" s="105" t="s">
        <v>1559</v>
      </c>
      <c r="D26" s="105" t="s">
        <v>1591</v>
      </c>
      <c r="E26" s="106" t="s">
        <v>1624</v>
      </c>
      <c r="F26" s="101" t="s">
        <v>1653</v>
      </c>
      <c r="G26" s="102" t="s">
        <v>1280</v>
      </c>
      <c r="H26" s="102" t="s">
        <v>2026</v>
      </c>
      <c r="I26" s="103" t="s">
        <v>1281</v>
      </c>
      <c r="J26" s="103" t="s">
        <v>1343</v>
      </c>
      <c r="K26" s="104" t="s">
        <v>1355</v>
      </c>
      <c r="L26" s="104" t="s">
        <v>1282</v>
      </c>
    </row>
    <row r="27" spans="1:12" s="130" customFormat="1" ht="89.25" x14ac:dyDescent="0.2">
      <c r="A27" s="192" t="s">
        <v>432</v>
      </c>
      <c r="B27" s="121" t="s">
        <v>435</v>
      </c>
      <c r="C27" s="114" t="s">
        <v>1561</v>
      </c>
      <c r="D27" s="114" t="s">
        <v>1592</v>
      </c>
      <c r="E27" s="114" t="s">
        <v>1626</v>
      </c>
      <c r="F27" s="101" t="s">
        <v>1654</v>
      </c>
      <c r="G27" s="102" t="s">
        <v>441</v>
      </c>
      <c r="H27" s="102" t="s">
        <v>1321</v>
      </c>
      <c r="I27" s="103" t="s">
        <v>1330</v>
      </c>
      <c r="J27" s="103" t="s">
        <v>1345</v>
      </c>
      <c r="K27" s="104" t="s">
        <v>1357</v>
      </c>
      <c r="L27" s="104" t="s">
        <v>1283</v>
      </c>
    </row>
    <row r="28" spans="1:12" s="130" customFormat="1" ht="63.75" x14ac:dyDescent="0.2">
      <c r="A28" s="193"/>
      <c r="B28" s="121" t="s">
        <v>449</v>
      </c>
      <c r="C28" s="114" t="s">
        <v>1562</v>
      </c>
      <c r="D28" s="114" t="s">
        <v>1594</v>
      </c>
      <c r="E28" s="114" t="s">
        <v>1628</v>
      </c>
      <c r="F28" s="101" t="s">
        <v>1656</v>
      </c>
      <c r="G28" s="102" t="s">
        <v>1284</v>
      </c>
      <c r="H28" s="102" t="s">
        <v>1285</v>
      </c>
      <c r="I28" s="103" t="s">
        <v>457</v>
      </c>
      <c r="J28" s="103" t="s">
        <v>459</v>
      </c>
      <c r="K28" s="104" t="s">
        <v>461</v>
      </c>
      <c r="L28" s="104" t="s">
        <v>463</v>
      </c>
    </row>
    <row r="29" spans="1:12" s="130" customFormat="1" ht="216.75" x14ac:dyDescent="0.2">
      <c r="A29" s="194"/>
      <c r="B29" s="121" t="s">
        <v>1864</v>
      </c>
      <c r="C29" s="106"/>
      <c r="D29" s="106"/>
      <c r="E29" s="106" t="s">
        <v>1865</v>
      </c>
      <c r="F29" s="101" t="s">
        <v>1866</v>
      </c>
      <c r="G29" s="102" t="s">
        <v>1867</v>
      </c>
      <c r="H29" s="102" t="s">
        <v>1868</v>
      </c>
      <c r="I29" s="103" t="s">
        <v>1869</v>
      </c>
      <c r="J29" s="103" t="s">
        <v>1870</v>
      </c>
      <c r="K29" s="104" t="s">
        <v>1871</v>
      </c>
      <c r="L29" s="104" t="s">
        <v>1872</v>
      </c>
    </row>
  </sheetData>
  <sheetProtection algorithmName="SHA-512" hashValue="P76NrPku0shflfF7OLYjP1LPJExbhn4lK6pB4x0lG3Cu7pvKu327fwOqNhie65dTn4Fz61dqnKvMRYvd1Knx9Q==" saltValue="O4Vb1w/E+b7Q6IzC/GnHFQ==" spinCount="100000" sheet="1" objects="1" scenarios="1"/>
  <mergeCells count="15">
    <mergeCell ref="A2:L2"/>
    <mergeCell ref="A1:B1"/>
    <mergeCell ref="A27:A29"/>
    <mergeCell ref="A4:B4"/>
    <mergeCell ref="A3:B3"/>
    <mergeCell ref="C3:E3"/>
    <mergeCell ref="G3:H3"/>
    <mergeCell ref="I3:J3"/>
    <mergeCell ref="A25:A26"/>
    <mergeCell ref="A6:A8"/>
    <mergeCell ref="A9:A10"/>
    <mergeCell ref="A11:A13"/>
    <mergeCell ref="A14:A17"/>
    <mergeCell ref="A18:A20"/>
    <mergeCell ref="A21:A23"/>
  </mergeCells>
  <printOptions horizontalCentered="1"/>
  <pageMargins left="0.25" right="0.25" top="0.25" bottom="0" header="0" footer="0"/>
  <pageSetup paperSize="3" scale="54" fitToHeight="0" orientation="landscape" r:id="rId1"/>
  <rowBreaks count="1" manualBreakCount="1">
    <brk id="16" max="11" man="1"/>
  </rowBreaks>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3:G616"/>
  <sheetViews>
    <sheetView zoomScaleNormal="100" workbookViewId="0">
      <pane ySplit="3" topLeftCell="A4" activePane="bottomLeft" state="frozen"/>
      <selection activeCell="B62" sqref="B62"/>
      <selection pane="bottomLeft" activeCell="A615" sqref="A4:XFD615"/>
    </sheetView>
  </sheetViews>
  <sheetFormatPr defaultColWidth="9.28515625" defaultRowHeight="34.5" customHeight="1" x14ac:dyDescent="0.25"/>
  <cols>
    <col min="1" max="1" width="12.7109375" style="43" customWidth="1"/>
    <col min="2" max="2" width="8.7109375" style="43" bestFit="1" customWidth="1"/>
    <col min="3" max="3" width="36" style="43" bestFit="1" customWidth="1"/>
    <col min="4" max="4" width="47.7109375" style="43" customWidth="1"/>
    <col min="5" max="5" width="84" style="43" customWidth="1"/>
    <col min="6" max="6" width="12.42578125" style="43" bestFit="1" customWidth="1"/>
    <col min="7" max="7" width="12.42578125" style="42" bestFit="1" customWidth="1"/>
    <col min="8" max="16384" width="9.28515625" style="42"/>
  </cols>
  <sheetData>
    <row r="3" spans="1:7" ht="34.5" customHeight="1" x14ac:dyDescent="0.25">
      <c r="A3" s="41" t="s">
        <v>586</v>
      </c>
      <c r="B3" s="41" t="s">
        <v>563</v>
      </c>
      <c r="C3" s="41" t="s">
        <v>85</v>
      </c>
      <c r="D3" s="41" t="s">
        <v>587</v>
      </c>
      <c r="E3" s="41" t="s">
        <v>588</v>
      </c>
      <c r="F3" s="41" t="s">
        <v>589</v>
      </c>
      <c r="G3" s="41" t="s">
        <v>590</v>
      </c>
    </row>
    <row r="4" spans="1:7" s="207" customFormat="1" ht="15" x14ac:dyDescent="0.25">
      <c r="A4" s="74">
        <v>1</v>
      </c>
      <c r="B4" s="74">
        <v>1</v>
      </c>
      <c r="C4" s="74" t="s">
        <v>591</v>
      </c>
      <c r="D4" s="74" t="s">
        <v>592</v>
      </c>
      <c r="E4" s="74" t="s">
        <v>593</v>
      </c>
      <c r="F4" s="208"/>
    </row>
    <row r="5" spans="1:7" s="207" customFormat="1" ht="15" x14ac:dyDescent="0.25">
      <c r="A5" s="74">
        <v>2</v>
      </c>
      <c r="B5" s="74">
        <v>2</v>
      </c>
      <c r="C5" s="74" t="s">
        <v>591</v>
      </c>
      <c r="D5" s="74" t="s">
        <v>592</v>
      </c>
      <c r="E5" s="74" t="s">
        <v>594</v>
      </c>
      <c r="F5" s="208"/>
    </row>
    <row r="6" spans="1:7" s="207" customFormat="1" ht="15" x14ac:dyDescent="0.25">
      <c r="A6" s="74">
        <v>3</v>
      </c>
      <c r="B6" s="74">
        <v>3</v>
      </c>
      <c r="C6" s="74" t="s">
        <v>591</v>
      </c>
      <c r="D6" s="74" t="s">
        <v>592</v>
      </c>
      <c r="E6" s="74" t="s">
        <v>595</v>
      </c>
      <c r="F6" s="208"/>
    </row>
    <row r="7" spans="1:7" s="207" customFormat="1" ht="15" x14ac:dyDescent="0.25">
      <c r="A7" s="74">
        <v>4</v>
      </c>
      <c r="B7" s="74">
        <v>4</v>
      </c>
      <c r="C7" s="74" t="s">
        <v>591</v>
      </c>
      <c r="D7" s="74" t="s">
        <v>592</v>
      </c>
      <c r="E7" s="74" t="s">
        <v>596</v>
      </c>
      <c r="F7" s="208"/>
    </row>
    <row r="8" spans="1:7" s="207" customFormat="1" ht="15" x14ac:dyDescent="0.25">
      <c r="A8" s="74">
        <v>5</v>
      </c>
      <c r="B8" s="74">
        <v>5</v>
      </c>
      <c r="C8" s="74" t="s">
        <v>591</v>
      </c>
      <c r="D8" s="74" t="s">
        <v>592</v>
      </c>
      <c r="E8" s="74" t="s">
        <v>597</v>
      </c>
      <c r="F8" s="208"/>
    </row>
    <row r="9" spans="1:7" s="207" customFormat="1" ht="15" x14ac:dyDescent="0.25">
      <c r="A9" s="74">
        <v>6</v>
      </c>
      <c r="B9" s="74">
        <v>6</v>
      </c>
      <c r="C9" s="74" t="s">
        <v>591</v>
      </c>
      <c r="D9" s="74" t="s">
        <v>592</v>
      </c>
      <c r="E9" s="74" t="s">
        <v>598</v>
      </c>
      <c r="F9" s="208"/>
    </row>
    <row r="10" spans="1:7" s="207" customFormat="1" ht="15" x14ac:dyDescent="0.25">
      <c r="A10" s="74">
        <v>7</v>
      </c>
      <c r="B10" s="74">
        <v>7</v>
      </c>
      <c r="C10" s="74" t="s">
        <v>591</v>
      </c>
      <c r="D10" s="74" t="s">
        <v>592</v>
      </c>
      <c r="E10" s="82" t="s">
        <v>2435</v>
      </c>
      <c r="F10" s="208"/>
    </row>
    <row r="11" spans="1:7" s="207" customFormat="1" ht="15" x14ac:dyDescent="0.25">
      <c r="A11" s="74">
        <v>8</v>
      </c>
      <c r="B11" s="74">
        <v>8</v>
      </c>
      <c r="C11" s="74" t="s">
        <v>591</v>
      </c>
      <c r="D11" s="74" t="s">
        <v>592</v>
      </c>
      <c r="E11" s="82" t="s">
        <v>2272</v>
      </c>
      <c r="F11" s="208"/>
    </row>
    <row r="12" spans="1:7" s="207" customFormat="1" ht="15" x14ac:dyDescent="0.25">
      <c r="A12" s="74">
        <v>9</v>
      </c>
      <c r="B12" s="74">
        <v>9</v>
      </c>
      <c r="C12" s="74" t="s">
        <v>591</v>
      </c>
      <c r="D12" s="74" t="s">
        <v>592</v>
      </c>
      <c r="E12" s="82" t="s">
        <v>601</v>
      </c>
      <c r="F12" s="208"/>
    </row>
    <row r="13" spans="1:7" s="207" customFormat="1" ht="15" x14ac:dyDescent="0.25">
      <c r="A13" s="74">
        <v>10</v>
      </c>
      <c r="B13" s="74">
        <v>10</v>
      </c>
      <c r="C13" s="74" t="s">
        <v>591</v>
      </c>
      <c r="D13" s="74" t="s">
        <v>592</v>
      </c>
      <c r="E13" s="74" t="s">
        <v>601</v>
      </c>
      <c r="F13" s="208"/>
    </row>
    <row r="14" spans="1:7" s="207" customFormat="1" ht="15" x14ac:dyDescent="0.25">
      <c r="A14" s="74">
        <v>11</v>
      </c>
      <c r="B14" s="74">
        <v>1</v>
      </c>
      <c r="C14" s="74" t="s">
        <v>591</v>
      </c>
      <c r="D14" s="74" t="s">
        <v>1248</v>
      </c>
      <c r="E14" s="74" t="s">
        <v>1698</v>
      </c>
      <c r="F14" s="208"/>
    </row>
    <row r="15" spans="1:7" s="207" customFormat="1" ht="15" x14ac:dyDescent="0.25">
      <c r="A15" s="74">
        <v>12</v>
      </c>
      <c r="B15" s="74">
        <v>2</v>
      </c>
      <c r="C15" s="74" t="s">
        <v>591</v>
      </c>
      <c r="D15" s="74" t="s">
        <v>1248</v>
      </c>
      <c r="E15" s="74" t="s">
        <v>1699</v>
      </c>
      <c r="F15" s="208"/>
    </row>
    <row r="16" spans="1:7" s="207" customFormat="1" ht="30" x14ac:dyDescent="0.25">
      <c r="A16" s="74">
        <v>13</v>
      </c>
      <c r="B16" s="74">
        <v>3</v>
      </c>
      <c r="C16" s="74" t="s">
        <v>591</v>
      </c>
      <c r="D16" s="74" t="s">
        <v>1248</v>
      </c>
      <c r="E16" s="74" t="s">
        <v>2436</v>
      </c>
      <c r="F16" s="208"/>
    </row>
    <row r="17" spans="1:6" s="207" customFormat="1" ht="30" x14ac:dyDescent="0.25">
      <c r="A17" s="74">
        <v>14</v>
      </c>
      <c r="B17" s="74">
        <v>4</v>
      </c>
      <c r="C17" s="74" t="s">
        <v>591</v>
      </c>
      <c r="D17" s="74" t="s">
        <v>1248</v>
      </c>
      <c r="E17" s="74" t="s">
        <v>2437</v>
      </c>
      <c r="F17" s="208"/>
    </row>
    <row r="18" spans="1:6" s="207" customFormat="1" ht="15" x14ac:dyDescent="0.25">
      <c r="A18" s="74">
        <v>15</v>
      </c>
      <c r="B18" s="74">
        <v>4</v>
      </c>
      <c r="C18" s="74" t="s">
        <v>591</v>
      </c>
      <c r="D18" s="74" t="s">
        <v>1248</v>
      </c>
      <c r="E18" s="74" t="s">
        <v>2273</v>
      </c>
      <c r="F18" s="208"/>
    </row>
    <row r="19" spans="1:6" s="207" customFormat="1" ht="30" x14ac:dyDescent="0.25">
      <c r="A19" s="74">
        <v>16</v>
      </c>
      <c r="B19" s="74">
        <v>4</v>
      </c>
      <c r="C19" s="74" t="s">
        <v>591</v>
      </c>
      <c r="D19" s="74" t="s">
        <v>1248</v>
      </c>
      <c r="E19" s="74" t="s">
        <v>2274</v>
      </c>
      <c r="F19" s="208"/>
    </row>
    <row r="20" spans="1:6" s="207" customFormat="1" ht="30" x14ac:dyDescent="0.25">
      <c r="A20" s="74">
        <v>17</v>
      </c>
      <c r="B20" s="74">
        <v>5</v>
      </c>
      <c r="C20" s="74" t="s">
        <v>591</v>
      </c>
      <c r="D20" s="74" t="s">
        <v>1248</v>
      </c>
      <c r="E20" s="74" t="s">
        <v>2275</v>
      </c>
      <c r="F20" s="208"/>
    </row>
    <row r="21" spans="1:6" s="207" customFormat="1" ht="30" x14ac:dyDescent="0.25">
      <c r="A21" s="74">
        <v>18</v>
      </c>
      <c r="B21" s="74">
        <v>5</v>
      </c>
      <c r="C21" s="74" t="s">
        <v>591</v>
      </c>
      <c r="D21" s="74" t="s">
        <v>1248</v>
      </c>
      <c r="E21" s="74" t="s">
        <v>2438</v>
      </c>
      <c r="F21" s="208"/>
    </row>
    <row r="22" spans="1:6" s="207" customFormat="1" ht="30" x14ac:dyDescent="0.25">
      <c r="A22" s="74">
        <v>19</v>
      </c>
      <c r="B22" s="74">
        <v>5</v>
      </c>
      <c r="C22" s="74" t="s">
        <v>591</v>
      </c>
      <c r="D22" s="74" t="s">
        <v>1248</v>
      </c>
      <c r="E22" s="74" t="s">
        <v>2276</v>
      </c>
      <c r="F22" s="208"/>
    </row>
    <row r="23" spans="1:6" s="207" customFormat="1" ht="30" x14ac:dyDescent="0.25">
      <c r="A23" s="74">
        <v>20</v>
      </c>
      <c r="B23" s="74">
        <v>6</v>
      </c>
      <c r="C23" s="74" t="s">
        <v>591</v>
      </c>
      <c r="D23" s="74" t="s">
        <v>1248</v>
      </c>
      <c r="E23" s="74" t="s">
        <v>2277</v>
      </c>
      <c r="F23" s="208"/>
    </row>
    <row r="24" spans="1:6" s="207" customFormat="1" ht="30" x14ac:dyDescent="0.25">
      <c r="A24" s="74">
        <v>21</v>
      </c>
      <c r="B24" s="74">
        <v>6</v>
      </c>
      <c r="C24" s="74" t="s">
        <v>591</v>
      </c>
      <c r="D24" s="74" t="s">
        <v>1248</v>
      </c>
      <c r="E24" s="74" t="s">
        <v>1366</v>
      </c>
      <c r="F24" s="208"/>
    </row>
    <row r="25" spans="1:6" s="207" customFormat="1" ht="30" x14ac:dyDescent="0.25">
      <c r="A25" s="74">
        <v>22</v>
      </c>
      <c r="B25" s="74">
        <v>6</v>
      </c>
      <c r="C25" s="74" t="s">
        <v>591</v>
      </c>
      <c r="D25" s="74" t="s">
        <v>1248</v>
      </c>
      <c r="E25" s="74" t="s">
        <v>2278</v>
      </c>
      <c r="F25" s="208"/>
    </row>
    <row r="26" spans="1:6" s="207" customFormat="1" ht="30" x14ac:dyDescent="0.25">
      <c r="A26" s="74">
        <v>23</v>
      </c>
      <c r="B26" s="74">
        <v>6</v>
      </c>
      <c r="C26" s="74" t="s">
        <v>591</v>
      </c>
      <c r="D26" s="74" t="s">
        <v>1248</v>
      </c>
      <c r="E26" s="74" t="s">
        <v>2279</v>
      </c>
      <c r="F26" s="208"/>
    </row>
    <row r="27" spans="1:6" s="207" customFormat="1" ht="30" x14ac:dyDescent="0.25">
      <c r="A27" s="74">
        <v>24</v>
      </c>
      <c r="B27" s="74">
        <v>7</v>
      </c>
      <c r="C27" s="74" t="s">
        <v>591</v>
      </c>
      <c r="D27" s="74" t="s">
        <v>1248</v>
      </c>
      <c r="E27" s="74" t="s">
        <v>2280</v>
      </c>
      <c r="F27" s="208"/>
    </row>
    <row r="28" spans="1:6" s="207" customFormat="1" ht="30" x14ac:dyDescent="0.25">
      <c r="A28" s="74">
        <v>25</v>
      </c>
      <c r="B28" s="74">
        <v>7</v>
      </c>
      <c r="C28" s="74" t="s">
        <v>591</v>
      </c>
      <c r="D28" s="74" t="s">
        <v>1248</v>
      </c>
      <c r="E28" s="74" t="s">
        <v>2281</v>
      </c>
      <c r="F28" s="208"/>
    </row>
    <row r="29" spans="1:6" s="207" customFormat="1" ht="30" x14ac:dyDescent="0.25">
      <c r="A29" s="74">
        <v>26</v>
      </c>
      <c r="B29" s="74">
        <v>7</v>
      </c>
      <c r="C29" s="74" t="s">
        <v>591</v>
      </c>
      <c r="D29" s="74" t="s">
        <v>1248</v>
      </c>
      <c r="E29" s="74" t="s">
        <v>2282</v>
      </c>
      <c r="F29" s="208"/>
    </row>
    <row r="30" spans="1:6" s="207" customFormat="1" ht="30" x14ac:dyDescent="0.25">
      <c r="A30" s="74">
        <v>27</v>
      </c>
      <c r="B30" s="74">
        <v>8</v>
      </c>
      <c r="C30" s="74" t="s">
        <v>591</v>
      </c>
      <c r="D30" s="74" t="s">
        <v>1248</v>
      </c>
      <c r="E30" s="74" t="s">
        <v>2283</v>
      </c>
      <c r="F30" s="208"/>
    </row>
    <row r="31" spans="1:6" s="207" customFormat="1" ht="15" x14ac:dyDescent="0.25">
      <c r="A31" s="74">
        <v>28</v>
      </c>
      <c r="B31" s="74">
        <v>8</v>
      </c>
      <c r="C31" s="74" t="s">
        <v>591</v>
      </c>
      <c r="D31" s="74" t="s">
        <v>1248</v>
      </c>
      <c r="E31" s="74" t="s">
        <v>2284</v>
      </c>
      <c r="F31" s="208"/>
    </row>
    <row r="32" spans="1:6" s="207" customFormat="1" ht="30" x14ac:dyDescent="0.25">
      <c r="A32" s="74">
        <v>29</v>
      </c>
      <c r="B32" s="74">
        <v>9</v>
      </c>
      <c r="C32" s="74" t="s">
        <v>591</v>
      </c>
      <c r="D32" s="74" t="s">
        <v>1248</v>
      </c>
      <c r="E32" s="74" t="s">
        <v>2285</v>
      </c>
      <c r="F32" s="208"/>
    </row>
    <row r="33" spans="1:6" s="207" customFormat="1" ht="15" x14ac:dyDescent="0.25">
      <c r="A33" s="74">
        <v>30</v>
      </c>
      <c r="B33" s="74">
        <v>9</v>
      </c>
      <c r="C33" s="74" t="s">
        <v>591</v>
      </c>
      <c r="D33" s="74" t="s">
        <v>1248</v>
      </c>
      <c r="E33" s="74" t="s">
        <v>620</v>
      </c>
      <c r="F33" s="208"/>
    </row>
    <row r="34" spans="1:6" s="207" customFormat="1" ht="30" x14ac:dyDescent="0.25">
      <c r="A34" s="74">
        <v>31</v>
      </c>
      <c r="B34" s="74">
        <v>10</v>
      </c>
      <c r="C34" s="74" t="s">
        <v>591</v>
      </c>
      <c r="D34" s="74" t="s">
        <v>1248</v>
      </c>
      <c r="E34" s="74" t="s">
        <v>2286</v>
      </c>
      <c r="F34" s="208"/>
    </row>
    <row r="35" spans="1:6" s="207" customFormat="1" ht="45" x14ac:dyDescent="0.25">
      <c r="A35" s="74">
        <v>32</v>
      </c>
      <c r="B35" s="74">
        <v>10</v>
      </c>
      <c r="C35" s="74" t="s">
        <v>591</v>
      </c>
      <c r="D35" s="74" t="s">
        <v>1248</v>
      </c>
      <c r="E35" s="74" t="s">
        <v>2439</v>
      </c>
      <c r="F35" s="208"/>
    </row>
    <row r="36" spans="1:6" s="207" customFormat="1" ht="30" x14ac:dyDescent="0.25">
      <c r="A36" s="74">
        <v>33</v>
      </c>
      <c r="B36" s="74">
        <v>1</v>
      </c>
      <c r="C36" s="74" t="s">
        <v>591</v>
      </c>
      <c r="D36" s="74" t="s">
        <v>150</v>
      </c>
      <c r="E36" s="74" t="s">
        <v>2287</v>
      </c>
      <c r="F36" s="208"/>
    </row>
    <row r="37" spans="1:6" s="209" customFormat="1" ht="15" x14ac:dyDescent="0.25">
      <c r="A37" s="74">
        <v>34</v>
      </c>
      <c r="B37" s="74">
        <v>2</v>
      </c>
      <c r="C37" s="74" t="s">
        <v>591</v>
      </c>
      <c r="D37" s="74" t="s">
        <v>150</v>
      </c>
      <c r="E37" s="74" t="s">
        <v>2288</v>
      </c>
      <c r="F37" s="208"/>
    </row>
    <row r="38" spans="1:6" s="207" customFormat="1" ht="30" x14ac:dyDescent="0.25">
      <c r="A38" s="74">
        <v>35</v>
      </c>
      <c r="B38" s="74">
        <v>3</v>
      </c>
      <c r="C38" s="74" t="s">
        <v>591</v>
      </c>
      <c r="D38" s="74" t="s">
        <v>150</v>
      </c>
      <c r="E38" s="74" t="s">
        <v>2289</v>
      </c>
      <c r="F38" s="208"/>
    </row>
    <row r="39" spans="1:6" s="207" customFormat="1" ht="30" x14ac:dyDescent="0.25">
      <c r="A39" s="74">
        <v>36</v>
      </c>
      <c r="B39" s="74">
        <v>4</v>
      </c>
      <c r="C39" s="74" t="s">
        <v>591</v>
      </c>
      <c r="D39" s="74" t="s">
        <v>150</v>
      </c>
      <c r="E39" s="74" t="s">
        <v>1700</v>
      </c>
      <c r="F39" s="208"/>
    </row>
    <row r="40" spans="1:6" s="207" customFormat="1" ht="15" x14ac:dyDescent="0.25">
      <c r="A40" s="74">
        <v>37</v>
      </c>
      <c r="B40" s="74">
        <v>4</v>
      </c>
      <c r="C40" s="74" t="s">
        <v>591</v>
      </c>
      <c r="D40" s="74" t="s">
        <v>150</v>
      </c>
      <c r="E40" s="74" t="s">
        <v>1701</v>
      </c>
      <c r="F40" s="208"/>
    </row>
    <row r="41" spans="1:6" s="207" customFormat="1" ht="15" x14ac:dyDescent="0.25">
      <c r="A41" s="74">
        <v>38</v>
      </c>
      <c r="B41" s="74">
        <v>5</v>
      </c>
      <c r="C41" s="74" t="s">
        <v>591</v>
      </c>
      <c r="D41" s="74" t="s">
        <v>150</v>
      </c>
      <c r="E41" s="74" t="s">
        <v>2290</v>
      </c>
      <c r="F41" s="208"/>
    </row>
    <row r="42" spans="1:6" s="207" customFormat="1" ht="15" x14ac:dyDescent="0.25">
      <c r="A42" s="74">
        <v>39</v>
      </c>
      <c r="B42" s="74">
        <v>6</v>
      </c>
      <c r="C42" s="74" t="s">
        <v>591</v>
      </c>
      <c r="D42" s="74" t="s">
        <v>150</v>
      </c>
      <c r="E42" s="74" t="s">
        <v>2291</v>
      </c>
      <c r="F42" s="208"/>
    </row>
    <row r="43" spans="1:6" s="207" customFormat="1" ht="30" x14ac:dyDescent="0.25">
      <c r="A43" s="74">
        <v>40</v>
      </c>
      <c r="B43" s="74">
        <v>6</v>
      </c>
      <c r="C43" s="74" t="s">
        <v>591</v>
      </c>
      <c r="D43" s="74" t="s">
        <v>150</v>
      </c>
      <c r="E43" s="74" t="s">
        <v>2292</v>
      </c>
      <c r="F43" s="208"/>
    </row>
    <row r="44" spans="1:6" s="207" customFormat="1" ht="30" x14ac:dyDescent="0.25">
      <c r="A44" s="74">
        <v>41</v>
      </c>
      <c r="B44" s="74">
        <v>7</v>
      </c>
      <c r="C44" s="74" t="s">
        <v>591</v>
      </c>
      <c r="D44" s="74" t="s">
        <v>150</v>
      </c>
      <c r="E44" s="74" t="s">
        <v>1367</v>
      </c>
      <c r="F44" s="208"/>
    </row>
    <row r="45" spans="1:6" s="207" customFormat="1" ht="30" x14ac:dyDescent="0.25">
      <c r="A45" s="74">
        <v>42</v>
      </c>
      <c r="B45" s="74">
        <v>7</v>
      </c>
      <c r="C45" s="74" t="s">
        <v>591</v>
      </c>
      <c r="D45" s="74" t="s">
        <v>150</v>
      </c>
      <c r="E45" s="74" t="s">
        <v>2293</v>
      </c>
      <c r="F45" s="208"/>
    </row>
    <row r="46" spans="1:6" s="207" customFormat="1" ht="15" x14ac:dyDescent="0.25">
      <c r="A46" s="74">
        <v>43</v>
      </c>
      <c r="B46" s="74">
        <v>8</v>
      </c>
      <c r="C46" s="74" t="s">
        <v>591</v>
      </c>
      <c r="D46" s="74" t="s">
        <v>150</v>
      </c>
      <c r="E46" s="74" t="s">
        <v>2440</v>
      </c>
      <c r="F46" s="208"/>
    </row>
    <row r="47" spans="1:6" s="207" customFormat="1" ht="15" x14ac:dyDescent="0.25">
      <c r="A47" s="74">
        <v>44</v>
      </c>
      <c r="B47" s="74">
        <v>8</v>
      </c>
      <c r="C47" s="74" t="s">
        <v>591</v>
      </c>
      <c r="D47" s="74" t="s">
        <v>150</v>
      </c>
      <c r="E47" s="74" t="s">
        <v>1368</v>
      </c>
      <c r="F47" s="208"/>
    </row>
    <row r="48" spans="1:6" s="207" customFormat="1" ht="30" x14ac:dyDescent="0.25">
      <c r="A48" s="74">
        <v>45</v>
      </c>
      <c r="B48" s="74">
        <v>8</v>
      </c>
      <c r="C48" s="74" t="s">
        <v>591</v>
      </c>
      <c r="D48" s="74" t="s">
        <v>150</v>
      </c>
      <c r="E48" s="74" t="s">
        <v>1369</v>
      </c>
      <c r="F48" s="208"/>
    </row>
    <row r="49" spans="1:6" s="207" customFormat="1" ht="30" x14ac:dyDescent="0.25">
      <c r="A49" s="74">
        <v>46</v>
      </c>
      <c r="B49" s="74">
        <v>9</v>
      </c>
      <c r="C49" s="74" t="s">
        <v>591</v>
      </c>
      <c r="D49" s="74" t="s">
        <v>150</v>
      </c>
      <c r="E49" s="74" t="s">
        <v>2441</v>
      </c>
      <c r="F49" s="208"/>
    </row>
    <row r="50" spans="1:6" s="207" customFormat="1" ht="15" x14ac:dyDescent="0.25">
      <c r="A50" s="74">
        <v>47</v>
      </c>
      <c r="B50" s="74">
        <v>10</v>
      </c>
      <c r="C50" s="74" t="s">
        <v>591</v>
      </c>
      <c r="D50" s="74" t="s">
        <v>150</v>
      </c>
      <c r="E50" s="74" t="s">
        <v>634</v>
      </c>
      <c r="F50" s="208"/>
    </row>
    <row r="51" spans="1:6" s="207" customFormat="1" ht="30" x14ac:dyDescent="0.25">
      <c r="A51" s="74">
        <v>48</v>
      </c>
      <c r="B51" s="74">
        <v>1</v>
      </c>
      <c r="C51" s="74" t="s">
        <v>635</v>
      </c>
      <c r="D51" s="74" t="s">
        <v>167</v>
      </c>
      <c r="E51" s="83" t="s">
        <v>1702</v>
      </c>
      <c r="F51" s="208"/>
    </row>
    <row r="52" spans="1:6" s="207" customFormat="1" ht="30" x14ac:dyDescent="0.25">
      <c r="A52" s="74">
        <v>49</v>
      </c>
      <c r="B52" s="74">
        <v>2</v>
      </c>
      <c r="C52" s="74" t="s">
        <v>635</v>
      </c>
      <c r="D52" s="74" t="s">
        <v>167</v>
      </c>
      <c r="E52" s="74" t="s">
        <v>2442</v>
      </c>
      <c r="F52" s="208"/>
    </row>
    <row r="53" spans="1:6" s="207" customFormat="1" ht="30" x14ac:dyDescent="0.25">
      <c r="A53" s="74">
        <v>50</v>
      </c>
      <c r="B53" s="74">
        <v>2</v>
      </c>
      <c r="C53" s="74" t="s">
        <v>635</v>
      </c>
      <c r="D53" s="74" t="s">
        <v>167</v>
      </c>
      <c r="E53" s="74" t="s">
        <v>2294</v>
      </c>
      <c r="F53" s="208"/>
    </row>
    <row r="54" spans="1:6" s="207" customFormat="1" ht="30" x14ac:dyDescent="0.25">
      <c r="A54" s="74">
        <v>51</v>
      </c>
      <c r="B54" s="74">
        <v>3</v>
      </c>
      <c r="C54" s="74" t="s">
        <v>635</v>
      </c>
      <c r="D54" s="74" t="s">
        <v>167</v>
      </c>
      <c r="E54" s="74" t="s">
        <v>636</v>
      </c>
      <c r="F54" s="208"/>
    </row>
    <row r="55" spans="1:6" s="207" customFormat="1" ht="30" x14ac:dyDescent="0.25">
      <c r="A55" s="74">
        <v>52</v>
      </c>
      <c r="B55" s="74">
        <v>4</v>
      </c>
      <c r="C55" s="74" t="s">
        <v>635</v>
      </c>
      <c r="D55" s="74" t="s">
        <v>167</v>
      </c>
      <c r="E55" s="74" t="s">
        <v>1703</v>
      </c>
      <c r="F55" s="208"/>
    </row>
    <row r="56" spans="1:6" s="207" customFormat="1" ht="30" x14ac:dyDescent="0.25">
      <c r="A56" s="74">
        <v>53</v>
      </c>
      <c r="B56" s="74">
        <v>4</v>
      </c>
      <c r="C56" s="74" t="s">
        <v>635</v>
      </c>
      <c r="D56" s="74" t="s">
        <v>167</v>
      </c>
      <c r="E56" s="74" t="s">
        <v>2443</v>
      </c>
      <c r="F56" s="208"/>
    </row>
    <row r="57" spans="1:6" s="207" customFormat="1" ht="45" x14ac:dyDescent="0.25">
      <c r="A57" s="74">
        <v>54</v>
      </c>
      <c r="B57" s="74">
        <v>4</v>
      </c>
      <c r="C57" s="74" t="s">
        <v>635</v>
      </c>
      <c r="D57" s="74" t="s">
        <v>167</v>
      </c>
      <c r="E57" s="74" t="s">
        <v>2444</v>
      </c>
      <c r="F57" s="208"/>
    </row>
    <row r="58" spans="1:6" s="207" customFormat="1" ht="30" x14ac:dyDescent="0.25">
      <c r="A58" s="74">
        <v>55</v>
      </c>
      <c r="B58" s="74">
        <v>5</v>
      </c>
      <c r="C58" s="74" t="s">
        <v>635</v>
      </c>
      <c r="D58" s="74" t="s">
        <v>167</v>
      </c>
      <c r="E58" s="74" t="s">
        <v>1370</v>
      </c>
      <c r="F58" s="208"/>
    </row>
    <row r="59" spans="1:6" s="207" customFormat="1" ht="30" x14ac:dyDescent="0.25">
      <c r="A59" s="74">
        <v>56</v>
      </c>
      <c r="B59" s="74">
        <v>5</v>
      </c>
      <c r="C59" s="74" t="s">
        <v>635</v>
      </c>
      <c r="D59" s="74" t="s">
        <v>167</v>
      </c>
      <c r="E59" s="74" t="s">
        <v>2445</v>
      </c>
      <c r="F59" s="208"/>
    </row>
    <row r="60" spans="1:6" s="207" customFormat="1" ht="30" x14ac:dyDescent="0.25">
      <c r="A60" s="74">
        <v>57</v>
      </c>
      <c r="B60" s="74">
        <v>5</v>
      </c>
      <c r="C60" s="74" t="s">
        <v>635</v>
      </c>
      <c r="D60" s="74" t="s">
        <v>167</v>
      </c>
      <c r="E60" s="74" t="s">
        <v>2446</v>
      </c>
      <c r="F60" s="208"/>
    </row>
    <row r="61" spans="1:6" s="207" customFormat="1" ht="30" x14ac:dyDescent="0.25">
      <c r="A61" s="74">
        <v>58</v>
      </c>
      <c r="B61" s="74">
        <v>5</v>
      </c>
      <c r="C61" s="74" t="s">
        <v>635</v>
      </c>
      <c r="D61" s="74" t="s">
        <v>167</v>
      </c>
      <c r="E61" s="74" t="s">
        <v>1371</v>
      </c>
      <c r="F61" s="208"/>
    </row>
    <row r="62" spans="1:6" s="207" customFormat="1" ht="30" x14ac:dyDescent="0.25">
      <c r="A62" s="74">
        <v>59</v>
      </c>
      <c r="B62" s="74">
        <v>6</v>
      </c>
      <c r="C62" s="74" t="s">
        <v>635</v>
      </c>
      <c r="D62" s="74" t="s">
        <v>167</v>
      </c>
      <c r="E62" s="74" t="s">
        <v>1372</v>
      </c>
      <c r="F62" s="208"/>
    </row>
    <row r="63" spans="1:6" s="207" customFormat="1" ht="60" x14ac:dyDescent="0.25">
      <c r="A63" s="74">
        <v>60</v>
      </c>
      <c r="B63" s="74">
        <v>6</v>
      </c>
      <c r="C63" s="74" t="s">
        <v>635</v>
      </c>
      <c r="D63" s="74" t="s">
        <v>167</v>
      </c>
      <c r="E63" s="74" t="s">
        <v>2447</v>
      </c>
      <c r="F63" s="208"/>
    </row>
    <row r="64" spans="1:6" s="207" customFormat="1" ht="30" x14ac:dyDescent="0.25">
      <c r="A64" s="74">
        <v>61</v>
      </c>
      <c r="B64" s="74">
        <v>6</v>
      </c>
      <c r="C64" s="74" t="s">
        <v>635</v>
      </c>
      <c r="D64" s="74" t="s">
        <v>167</v>
      </c>
      <c r="E64" s="74" t="s">
        <v>1373</v>
      </c>
      <c r="F64" s="208"/>
    </row>
    <row r="65" spans="1:6" s="207" customFormat="1" ht="15" x14ac:dyDescent="0.25">
      <c r="A65" s="74">
        <v>62</v>
      </c>
      <c r="B65" s="74">
        <v>6</v>
      </c>
      <c r="C65" s="74" t="s">
        <v>635</v>
      </c>
      <c r="D65" s="74" t="s">
        <v>167</v>
      </c>
      <c r="E65" s="74" t="s">
        <v>2448</v>
      </c>
      <c r="F65" s="208"/>
    </row>
    <row r="66" spans="1:6" s="207" customFormat="1" ht="45" x14ac:dyDescent="0.25">
      <c r="A66" s="74">
        <v>63</v>
      </c>
      <c r="B66" s="74">
        <v>7</v>
      </c>
      <c r="C66" s="74" t="s">
        <v>635</v>
      </c>
      <c r="D66" s="74" t="s">
        <v>167</v>
      </c>
      <c r="E66" s="74" t="s">
        <v>1374</v>
      </c>
      <c r="F66" s="208"/>
    </row>
    <row r="67" spans="1:6" s="207" customFormat="1" ht="30" x14ac:dyDescent="0.25">
      <c r="A67" s="74">
        <v>64</v>
      </c>
      <c r="B67" s="74">
        <v>7</v>
      </c>
      <c r="C67" s="74" t="s">
        <v>635</v>
      </c>
      <c r="D67" s="74" t="s">
        <v>167</v>
      </c>
      <c r="E67" s="74" t="s">
        <v>2449</v>
      </c>
      <c r="F67" s="208"/>
    </row>
    <row r="68" spans="1:6" s="207" customFormat="1" ht="30" x14ac:dyDescent="0.25">
      <c r="A68" s="74">
        <v>65</v>
      </c>
      <c r="B68" s="74">
        <v>7</v>
      </c>
      <c r="C68" s="74" t="s">
        <v>635</v>
      </c>
      <c r="D68" s="74" t="s">
        <v>167</v>
      </c>
      <c r="E68" s="74" t="s">
        <v>1375</v>
      </c>
      <c r="F68" s="208"/>
    </row>
    <row r="69" spans="1:6" s="207" customFormat="1" ht="30" x14ac:dyDescent="0.25">
      <c r="A69" s="74">
        <v>66</v>
      </c>
      <c r="B69" s="74">
        <v>7</v>
      </c>
      <c r="C69" s="74" t="s">
        <v>635</v>
      </c>
      <c r="D69" s="74" t="s">
        <v>167</v>
      </c>
      <c r="E69" s="74" t="s">
        <v>2295</v>
      </c>
      <c r="F69" s="208"/>
    </row>
    <row r="70" spans="1:6" s="207" customFormat="1" ht="30" x14ac:dyDescent="0.25">
      <c r="A70" s="74">
        <v>67</v>
      </c>
      <c r="B70" s="74">
        <v>8</v>
      </c>
      <c r="C70" s="74" t="s">
        <v>635</v>
      </c>
      <c r="D70" s="74" t="s">
        <v>167</v>
      </c>
      <c r="E70" s="74" t="s">
        <v>1376</v>
      </c>
      <c r="F70" s="208"/>
    </row>
    <row r="71" spans="1:6" s="207" customFormat="1" ht="15" x14ac:dyDescent="0.25">
      <c r="A71" s="74">
        <v>68</v>
      </c>
      <c r="B71" s="74">
        <v>8</v>
      </c>
      <c r="C71" s="74" t="s">
        <v>635</v>
      </c>
      <c r="D71" s="74" t="s">
        <v>167</v>
      </c>
      <c r="E71" s="74" t="s">
        <v>2296</v>
      </c>
      <c r="F71" s="208"/>
    </row>
    <row r="72" spans="1:6" s="207" customFormat="1" ht="30" x14ac:dyDescent="0.25">
      <c r="A72" s="74">
        <v>69</v>
      </c>
      <c r="B72" s="74">
        <v>9</v>
      </c>
      <c r="C72" s="74" t="s">
        <v>635</v>
      </c>
      <c r="D72" s="74" t="s">
        <v>167</v>
      </c>
      <c r="E72" s="74" t="s">
        <v>2297</v>
      </c>
      <c r="F72" s="208"/>
    </row>
    <row r="73" spans="1:6" s="207" customFormat="1" ht="30" x14ac:dyDescent="0.25">
      <c r="A73" s="74">
        <v>70</v>
      </c>
      <c r="B73" s="74">
        <v>9</v>
      </c>
      <c r="C73" s="74" t="s">
        <v>635</v>
      </c>
      <c r="D73" s="74" t="s">
        <v>167</v>
      </c>
      <c r="E73" s="74" t="s">
        <v>2450</v>
      </c>
      <c r="F73" s="208"/>
    </row>
    <row r="74" spans="1:6" s="207" customFormat="1" ht="15" x14ac:dyDescent="0.25">
      <c r="A74" s="74">
        <v>71</v>
      </c>
      <c r="B74" s="74">
        <v>10</v>
      </c>
      <c r="C74" s="74" t="s">
        <v>635</v>
      </c>
      <c r="D74" s="74" t="s">
        <v>167</v>
      </c>
      <c r="E74" s="74" t="s">
        <v>2298</v>
      </c>
      <c r="F74" s="208"/>
    </row>
    <row r="75" spans="1:6" s="207" customFormat="1" ht="30" x14ac:dyDescent="0.25">
      <c r="A75" s="74">
        <v>72</v>
      </c>
      <c r="B75" s="74">
        <v>10</v>
      </c>
      <c r="C75" s="74" t="s">
        <v>635</v>
      </c>
      <c r="D75" s="74" t="s">
        <v>167</v>
      </c>
      <c r="E75" s="74" t="s">
        <v>1377</v>
      </c>
      <c r="F75" s="208"/>
    </row>
    <row r="76" spans="1:6" s="207" customFormat="1" ht="30" x14ac:dyDescent="0.25">
      <c r="A76" s="74">
        <v>73</v>
      </c>
      <c r="B76" s="74">
        <v>10</v>
      </c>
      <c r="C76" s="74" t="s">
        <v>635</v>
      </c>
      <c r="D76" s="74" t="s">
        <v>167</v>
      </c>
      <c r="E76" s="74" t="s">
        <v>2299</v>
      </c>
      <c r="F76" s="208"/>
    </row>
    <row r="77" spans="1:6" s="207" customFormat="1" ht="15" x14ac:dyDescent="0.25">
      <c r="A77" s="74">
        <v>74</v>
      </c>
      <c r="B77" s="74">
        <v>1</v>
      </c>
      <c r="C77" s="74" t="s">
        <v>635</v>
      </c>
      <c r="D77" s="74" t="s">
        <v>181</v>
      </c>
      <c r="E77" s="74" t="s">
        <v>1704</v>
      </c>
      <c r="F77" s="208"/>
    </row>
    <row r="78" spans="1:6" s="207" customFormat="1" ht="30" x14ac:dyDescent="0.25">
      <c r="A78" s="74">
        <v>75</v>
      </c>
      <c r="B78" s="74">
        <v>2</v>
      </c>
      <c r="C78" s="74" t="s">
        <v>635</v>
      </c>
      <c r="D78" s="74" t="s">
        <v>181</v>
      </c>
      <c r="E78" s="74" t="s">
        <v>1705</v>
      </c>
      <c r="F78" s="208"/>
    </row>
    <row r="79" spans="1:6" s="207" customFormat="1" ht="15" x14ac:dyDescent="0.25">
      <c r="A79" s="74">
        <v>76</v>
      </c>
      <c r="B79" s="74">
        <v>3</v>
      </c>
      <c r="C79" s="74" t="s">
        <v>635</v>
      </c>
      <c r="D79" s="74" t="s">
        <v>181</v>
      </c>
      <c r="E79" s="74" t="s">
        <v>2300</v>
      </c>
      <c r="F79" s="208"/>
    </row>
    <row r="80" spans="1:6" s="207" customFormat="1" ht="30" x14ac:dyDescent="0.25">
      <c r="A80" s="74">
        <v>77</v>
      </c>
      <c r="B80" s="74">
        <v>3</v>
      </c>
      <c r="C80" s="74" t="s">
        <v>635</v>
      </c>
      <c r="D80" s="74" t="s">
        <v>181</v>
      </c>
      <c r="E80" s="74" t="s">
        <v>2301</v>
      </c>
      <c r="F80" s="208"/>
    </row>
    <row r="81" spans="1:6" s="207" customFormat="1" ht="15" x14ac:dyDescent="0.25">
      <c r="A81" s="74">
        <v>78</v>
      </c>
      <c r="B81" s="74">
        <v>3</v>
      </c>
      <c r="C81" s="74" t="s">
        <v>635</v>
      </c>
      <c r="D81" s="74" t="s">
        <v>181</v>
      </c>
      <c r="E81" s="74" t="s">
        <v>1706</v>
      </c>
      <c r="F81" s="208"/>
    </row>
    <row r="82" spans="1:6" s="207" customFormat="1" ht="30" x14ac:dyDescent="0.25">
      <c r="A82" s="74">
        <v>79</v>
      </c>
      <c r="B82" s="74">
        <v>4</v>
      </c>
      <c r="C82" s="74" t="s">
        <v>635</v>
      </c>
      <c r="D82" s="74" t="s">
        <v>181</v>
      </c>
      <c r="E82" s="74" t="s">
        <v>1707</v>
      </c>
      <c r="F82" s="208"/>
    </row>
    <row r="83" spans="1:6" s="207" customFormat="1" ht="45" x14ac:dyDescent="0.25">
      <c r="A83" s="74">
        <v>80</v>
      </c>
      <c r="B83" s="74">
        <v>4</v>
      </c>
      <c r="C83" s="74" t="s">
        <v>635</v>
      </c>
      <c r="D83" s="74" t="s">
        <v>181</v>
      </c>
      <c r="E83" s="74" t="s">
        <v>2451</v>
      </c>
      <c r="F83" s="208"/>
    </row>
    <row r="84" spans="1:6" s="207" customFormat="1" ht="30" x14ac:dyDescent="0.25">
      <c r="A84" s="74">
        <v>81</v>
      </c>
      <c r="B84" s="74">
        <v>4</v>
      </c>
      <c r="C84" s="74" t="s">
        <v>635</v>
      </c>
      <c r="D84" s="74" t="s">
        <v>181</v>
      </c>
      <c r="E84" s="74" t="s">
        <v>1708</v>
      </c>
      <c r="F84" s="208"/>
    </row>
    <row r="85" spans="1:6" s="207" customFormat="1" ht="30" x14ac:dyDescent="0.25">
      <c r="A85" s="74">
        <v>82</v>
      </c>
      <c r="B85" s="74">
        <v>4</v>
      </c>
      <c r="C85" s="74" t="s">
        <v>635</v>
      </c>
      <c r="D85" s="74" t="s">
        <v>181</v>
      </c>
      <c r="E85" s="74" t="s">
        <v>1709</v>
      </c>
      <c r="F85" s="208"/>
    </row>
    <row r="86" spans="1:6" s="207" customFormat="1" ht="30" x14ac:dyDescent="0.25">
      <c r="A86" s="74">
        <v>83</v>
      </c>
      <c r="B86" s="74">
        <v>5</v>
      </c>
      <c r="C86" s="74" t="s">
        <v>635</v>
      </c>
      <c r="D86" s="74" t="s">
        <v>181</v>
      </c>
      <c r="E86" s="74" t="s">
        <v>2452</v>
      </c>
      <c r="F86" s="208"/>
    </row>
    <row r="87" spans="1:6" s="207" customFormat="1" ht="30" x14ac:dyDescent="0.25">
      <c r="A87" s="74">
        <v>84</v>
      </c>
      <c r="B87" s="74">
        <v>5</v>
      </c>
      <c r="C87" s="74" t="s">
        <v>635</v>
      </c>
      <c r="D87" s="74" t="s">
        <v>181</v>
      </c>
      <c r="E87" s="74" t="s">
        <v>2453</v>
      </c>
      <c r="F87" s="208"/>
    </row>
    <row r="88" spans="1:6" s="207" customFormat="1" ht="30" x14ac:dyDescent="0.25">
      <c r="A88" s="74">
        <v>85</v>
      </c>
      <c r="B88" s="74">
        <v>5</v>
      </c>
      <c r="C88" s="74" t="s">
        <v>635</v>
      </c>
      <c r="D88" s="74" t="s">
        <v>181</v>
      </c>
      <c r="E88" s="74" t="s">
        <v>1378</v>
      </c>
      <c r="F88" s="208"/>
    </row>
    <row r="89" spans="1:6" s="207" customFormat="1" ht="15" x14ac:dyDescent="0.25">
      <c r="A89" s="74">
        <v>86</v>
      </c>
      <c r="B89" s="74">
        <v>5</v>
      </c>
      <c r="C89" s="74" t="s">
        <v>635</v>
      </c>
      <c r="D89" s="74" t="s">
        <v>181</v>
      </c>
      <c r="E89" s="74" t="s">
        <v>2454</v>
      </c>
      <c r="F89" s="208"/>
    </row>
    <row r="90" spans="1:6" s="207" customFormat="1" ht="30" x14ac:dyDescent="0.25">
      <c r="A90" s="74">
        <v>87</v>
      </c>
      <c r="B90" s="74">
        <v>5</v>
      </c>
      <c r="C90" s="74" t="s">
        <v>635</v>
      </c>
      <c r="D90" s="74" t="s">
        <v>181</v>
      </c>
      <c r="E90" s="74" t="s">
        <v>2302</v>
      </c>
      <c r="F90" s="208"/>
    </row>
    <row r="91" spans="1:6" s="207" customFormat="1" ht="15" x14ac:dyDescent="0.25">
      <c r="A91" s="74">
        <v>88</v>
      </c>
      <c r="B91" s="74">
        <v>6</v>
      </c>
      <c r="C91" s="74" t="s">
        <v>635</v>
      </c>
      <c r="D91" s="74" t="s">
        <v>181</v>
      </c>
      <c r="E91" s="74" t="s">
        <v>1379</v>
      </c>
      <c r="F91" s="208"/>
    </row>
    <row r="92" spans="1:6" s="207" customFormat="1" ht="30" x14ac:dyDescent="0.25">
      <c r="A92" s="74">
        <v>89</v>
      </c>
      <c r="B92" s="74">
        <v>6</v>
      </c>
      <c r="C92" s="74" t="s">
        <v>635</v>
      </c>
      <c r="D92" s="74" t="s">
        <v>181</v>
      </c>
      <c r="E92" s="74" t="s">
        <v>1256</v>
      </c>
      <c r="F92" s="208"/>
    </row>
    <row r="93" spans="1:6" s="209" customFormat="1" ht="30" x14ac:dyDescent="0.25">
      <c r="A93" s="74">
        <v>90</v>
      </c>
      <c r="B93" s="74">
        <v>6</v>
      </c>
      <c r="C93" s="74" t="s">
        <v>635</v>
      </c>
      <c r="D93" s="74" t="s">
        <v>181</v>
      </c>
      <c r="E93" s="74" t="s">
        <v>2303</v>
      </c>
      <c r="F93" s="208"/>
    </row>
    <row r="94" spans="1:6" s="209" customFormat="1" ht="30" x14ac:dyDescent="0.25">
      <c r="A94" s="74">
        <v>91</v>
      </c>
      <c r="B94" s="74">
        <v>6</v>
      </c>
      <c r="C94" s="74" t="s">
        <v>635</v>
      </c>
      <c r="D94" s="74" t="s">
        <v>181</v>
      </c>
      <c r="E94" s="74" t="s">
        <v>2304</v>
      </c>
      <c r="F94" s="208"/>
    </row>
    <row r="95" spans="1:6" s="207" customFormat="1" ht="15" x14ac:dyDescent="0.25">
      <c r="A95" s="74">
        <v>92</v>
      </c>
      <c r="B95" s="74">
        <v>6</v>
      </c>
      <c r="C95" s="74" t="s">
        <v>635</v>
      </c>
      <c r="D95" s="74" t="s">
        <v>181</v>
      </c>
      <c r="E95" s="74" t="s">
        <v>1710</v>
      </c>
      <c r="F95" s="210"/>
    </row>
    <row r="96" spans="1:6" s="207" customFormat="1" ht="15" x14ac:dyDescent="0.25">
      <c r="A96" s="74">
        <v>93</v>
      </c>
      <c r="B96" s="74">
        <v>6</v>
      </c>
      <c r="C96" s="74" t="s">
        <v>635</v>
      </c>
      <c r="D96" s="74" t="s">
        <v>181</v>
      </c>
      <c r="E96" s="74" t="s">
        <v>1711</v>
      </c>
      <c r="F96" s="208"/>
    </row>
    <row r="97" spans="1:6" s="207" customFormat="1" ht="30" x14ac:dyDescent="0.25">
      <c r="A97" s="74">
        <v>94</v>
      </c>
      <c r="B97" s="74">
        <v>7</v>
      </c>
      <c r="C97" s="74" t="s">
        <v>635</v>
      </c>
      <c r="D97" s="74" t="s">
        <v>181</v>
      </c>
      <c r="E97" s="74" t="s">
        <v>1380</v>
      </c>
      <c r="F97" s="208"/>
    </row>
    <row r="98" spans="1:6" s="207" customFormat="1" ht="30" x14ac:dyDescent="0.25">
      <c r="A98" s="74">
        <v>95</v>
      </c>
      <c r="B98" s="74">
        <v>7</v>
      </c>
      <c r="C98" s="74" t="s">
        <v>635</v>
      </c>
      <c r="D98" s="74" t="s">
        <v>181</v>
      </c>
      <c r="E98" s="74" t="s">
        <v>1381</v>
      </c>
      <c r="F98" s="208"/>
    </row>
    <row r="99" spans="1:6" s="207" customFormat="1" ht="30" x14ac:dyDescent="0.25">
      <c r="A99" s="74">
        <v>96</v>
      </c>
      <c r="B99" s="74">
        <v>7</v>
      </c>
      <c r="C99" s="74" t="s">
        <v>635</v>
      </c>
      <c r="D99" s="74" t="s">
        <v>181</v>
      </c>
      <c r="E99" s="74" t="s">
        <v>1382</v>
      </c>
      <c r="F99" s="208"/>
    </row>
    <row r="100" spans="1:6" s="207" customFormat="1" ht="15" x14ac:dyDescent="0.25">
      <c r="A100" s="74">
        <v>97</v>
      </c>
      <c r="B100" s="74">
        <v>7</v>
      </c>
      <c r="C100" s="74" t="s">
        <v>635</v>
      </c>
      <c r="D100" s="74" t="s">
        <v>181</v>
      </c>
      <c r="E100" s="74" t="s">
        <v>1383</v>
      </c>
      <c r="F100" s="208"/>
    </row>
    <row r="101" spans="1:6" s="207" customFormat="1" ht="30" x14ac:dyDescent="0.25">
      <c r="A101" s="74">
        <v>98</v>
      </c>
      <c r="B101" s="74">
        <v>7</v>
      </c>
      <c r="C101" s="74" t="s">
        <v>635</v>
      </c>
      <c r="D101" s="74" t="s">
        <v>181</v>
      </c>
      <c r="E101" s="74" t="s">
        <v>2305</v>
      </c>
      <c r="F101" s="208"/>
    </row>
    <row r="102" spans="1:6" s="207" customFormat="1" ht="15" x14ac:dyDescent="0.25">
      <c r="A102" s="74">
        <v>99</v>
      </c>
      <c r="B102" s="74">
        <v>8</v>
      </c>
      <c r="C102" s="74" t="s">
        <v>635</v>
      </c>
      <c r="D102" s="74" t="s">
        <v>181</v>
      </c>
      <c r="E102" s="74" t="s">
        <v>679</v>
      </c>
      <c r="F102" s="208"/>
    </row>
    <row r="103" spans="1:6" s="207" customFormat="1" ht="15" x14ac:dyDescent="0.25">
      <c r="A103" s="74">
        <v>100</v>
      </c>
      <c r="B103" s="74">
        <v>8</v>
      </c>
      <c r="C103" s="74" t="s">
        <v>635</v>
      </c>
      <c r="D103" s="74" t="s">
        <v>181</v>
      </c>
      <c r="E103" s="74" t="s">
        <v>1384</v>
      </c>
      <c r="F103" s="208"/>
    </row>
    <row r="104" spans="1:6" s="207" customFormat="1" ht="15" x14ac:dyDescent="0.25">
      <c r="A104" s="74">
        <v>101</v>
      </c>
      <c r="B104" s="74">
        <v>8</v>
      </c>
      <c r="C104" s="74" t="s">
        <v>635</v>
      </c>
      <c r="D104" s="74" t="s">
        <v>181</v>
      </c>
      <c r="E104" s="74" t="s">
        <v>2306</v>
      </c>
      <c r="F104" s="208"/>
    </row>
    <row r="105" spans="1:6" s="207" customFormat="1" ht="15" x14ac:dyDescent="0.25">
      <c r="A105" s="74">
        <v>102</v>
      </c>
      <c r="B105" s="74">
        <v>9</v>
      </c>
      <c r="C105" s="74" t="s">
        <v>635</v>
      </c>
      <c r="D105" s="74" t="s">
        <v>181</v>
      </c>
      <c r="E105" s="74" t="s">
        <v>1526</v>
      </c>
      <c r="F105" s="208"/>
    </row>
    <row r="106" spans="1:6" s="207" customFormat="1" ht="15" x14ac:dyDescent="0.25">
      <c r="A106" s="74">
        <v>103</v>
      </c>
      <c r="B106" s="74">
        <v>9</v>
      </c>
      <c r="C106" s="74" t="s">
        <v>635</v>
      </c>
      <c r="D106" s="74" t="s">
        <v>181</v>
      </c>
      <c r="E106" s="74" t="s">
        <v>1385</v>
      </c>
      <c r="F106" s="208"/>
    </row>
    <row r="107" spans="1:6" s="207" customFormat="1" ht="30" x14ac:dyDescent="0.25">
      <c r="A107" s="74">
        <v>104</v>
      </c>
      <c r="B107" s="74">
        <v>9</v>
      </c>
      <c r="C107" s="74" t="s">
        <v>635</v>
      </c>
      <c r="D107" s="74" t="s">
        <v>181</v>
      </c>
      <c r="E107" s="74" t="s">
        <v>1386</v>
      </c>
      <c r="F107" s="208"/>
    </row>
    <row r="108" spans="1:6" s="207" customFormat="1" ht="15" x14ac:dyDescent="0.25">
      <c r="A108" s="74">
        <v>105</v>
      </c>
      <c r="B108" s="74">
        <v>9</v>
      </c>
      <c r="C108" s="74" t="s">
        <v>635</v>
      </c>
      <c r="D108" s="74" t="s">
        <v>181</v>
      </c>
      <c r="E108" s="74" t="s">
        <v>1387</v>
      </c>
      <c r="F108" s="208"/>
    </row>
    <row r="109" spans="1:6" s="207" customFormat="1" ht="15" x14ac:dyDescent="0.25">
      <c r="A109" s="74">
        <v>106</v>
      </c>
      <c r="B109" s="74">
        <v>10</v>
      </c>
      <c r="C109" s="74" t="s">
        <v>635</v>
      </c>
      <c r="D109" s="74" t="s">
        <v>181</v>
      </c>
      <c r="E109" s="74" t="s">
        <v>1388</v>
      </c>
      <c r="F109" s="208"/>
    </row>
    <row r="110" spans="1:6" s="207" customFormat="1" ht="15" x14ac:dyDescent="0.25">
      <c r="A110" s="74">
        <v>107</v>
      </c>
      <c r="B110" s="74">
        <v>10</v>
      </c>
      <c r="C110" s="74" t="s">
        <v>635</v>
      </c>
      <c r="D110" s="74" t="s">
        <v>181</v>
      </c>
      <c r="E110" s="74" t="s">
        <v>1389</v>
      </c>
      <c r="F110" s="208"/>
    </row>
    <row r="111" spans="1:6" s="207" customFormat="1" ht="30" x14ac:dyDescent="0.25">
      <c r="A111" s="74">
        <v>108</v>
      </c>
      <c r="B111" s="74">
        <v>1</v>
      </c>
      <c r="C111" s="74" t="s">
        <v>193</v>
      </c>
      <c r="D111" s="74" t="s">
        <v>196</v>
      </c>
      <c r="E111" s="74" t="s">
        <v>1712</v>
      </c>
      <c r="F111" s="208"/>
    </row>
    <row r="112" spans="1:6" s="207" customFormat="1" ht="30" x14ac:dyDescent="0.25">
      <c r="A112" s="74">
        <v>109</v>
      </c>
      <c r="B112" s="74">
        <v>2</v>
      </c>
      <c r="C112" s="74" t="s">
        <v>193</v>
      </c>
      <c r="D112" s="74" t="s">
        <v>196</v>
      </c>
      <c r="E112" s="74" t="s">
        <v>690</v>
      </c>
      <c r="F112" s="208"/>
    </row>
    <row r="113" spans="1:6" s="207" customFormat="1" ht="30" x14ac:dyDescent="0.25">
      <c r="A113" s="74">
        <v>110</v>
      </c>
      <c r="B113" s="74">
        <v>3</v>
      </c>
      <c r="C113" s="74" t="s">
        <v>193</v>
      </c>
      <c r="D113" s="74" t="s">
        <v>196</v>
      </c>
      <c r="E113" s="74" t="s">
        <v>1713</v>
      </c>
      <c r="F113" s="208"/>
    </row>
    <row r="114" spans="1:6" s="207" customFormat="1" ht="30" x14ac:dyDescent="0.25">
      <c r="A114" s="74">
        <v>111</v>
      </c>
      <c r="B114" s="74">
        <v>3</v>
      </c>
      <c r="C114" s="74" t="s">
        <v>193</v>
      </c>
      <c r="D114" s="74" t="s">
        <v>196</v>
      </c>
      <c r="E114" s="74" t="s">
        <v>2455</v>
      </c>
      <c r="F114" s="208"/>
    </row>
    <row r="115" spans="1:6" s="207" customFormat="1" ht="30" x14ac:dyDescent="0.25">
      <c r="A115" s="74">
        <v>112</v>
      </c>
      <c r="B115" s="74">
        <v>4</v>
      </c>
      <c r="C115" s="74" t="s">
        <v>193</v>
      </c>
      <c r="D115" s="74" t="s">
        <v>196</v>
      </c>
      <c r="E115" s="74" t="s">
        <v>2456</v>
      </c>
      <c r="F115" s="208"/>
    </row>
    <row r="116" spans="1:6" s="207" customFormat="1" ht="30" x14ac:dyDescent="0.25">
      <c r="A116" s="74">
        <v>113</v>
      </c>
      <c r="B116" s="74">
        <v>4</v>
      </c>
      <c r="C116" s="74" t="s">
        <v>193</v>
      </c>
      <c r="D116" s="74" t="s">
        <v>196</v>
      </c>
      <c r="E116" s="74" t="s">
        <v>1714</v>
      </c>
      <c r="F116" s="208"/>
    </row>
    <row r="117" spans="1:6" s="207" customFormat="1" ht="30" x14ac:dyDescent="0.25">
      <c r="A117" s="74">
        <v>114</v>
      </c>
      <c r="B117" s="74">
        <v>4</v>
      </c>
      <c r="C117" s="74" t="s">
        <v>193</v>
      </c>
      <c r="D117" s="74" t="s">
        <v>196</v>
      </c>
      <c r="E117" s="74" t="s">
        <v>1390</v>
      </c>
      <c r="F117" s="208"/>
    </row>
    <row r="118" spans="1:6" s="207" customFormat="1" ht="30" x14ac:dyDescent="0.25">
      <c r="A118" s="74">
        <v>115</v>
      </c>
      <c r="B118" s="74">
        <v>4</v>
      </c>
      <c r="C118" s="74" t="s">
        <v>193</v>
      </c>
      <c r="D118" s="74" t="s">
        <v>196</v>
      </c>
      <c r="E118" s="74" t="s">
        <v>2457</v>
      </c>
      <c r="F118" s="208"/>
    </row>
    <row r="119" spans="1:6" s="207" customFormat="1" ht="30" x14ac:dyDescent="0.25">
      <c r="A119" s="74">
        <v>116</v>
      </c>
      <c r="B119" s="74">
        <v>5</v>
      </c>
      <c r="C119" s="74" t="s">
        <v>193</v>
      </c>
      <c r="D119" s="74" t="s">
        <v>196</v>
      </c>
      <c r="E119" s="83" t="s">
        <v>2307</v>
      </c>
      <c r="F119" s="208"/>
    </row>
    <row r="120" spans="1:6" s="207" customFormat="1" ht="45" x14ac:dyDescent="0.25">
      <c r="A120" s="74">
        <v>117</v>
      </c>
      <c r="B120" s="74">
        <v>5</v>
      </c>
      <c r="C120" s="74" t="s">
        <v>193</v>
      </c>
      <c r="D120" s="74" t="s">
        <v>196</v>
      </c>
      <c r="E120" s="74" t="s">
        <v>2308</v>
      </c>
      <c r="F120" s="208"/>
    </row>
    <row r="121" spans="1:6" s="207" customFormat="1" ht="30" x14ac:dyDescent="0.25">
      <c r="A121" s="74">
        <v>118</v>
      </c>
      <c r="B121" s="74">
        <v>6</v>
      </c>
      <c r="C121" s="74" t="s">
        <v>193</v>
      </c>
      <c r="D121" s="74" t="s">
        <v>196</v>
      </c>
      <c r="E121" s="74" t="s">
        <v>1391</v>
      </c>
      <c r="F121" s="208"/>
    </row>
    <row r="122" spans="1:6" s="207" customFormat="1" ht="60" x14ac:dyDescent="0.25">
      <c r="A122" s="74">
        <v>119</v>
      </c>
      <c r="B122" s="74">
        <v>6</v>
      </c>
      <c r="C122" s="74" t="s">
        <v>193</v>
      </c>
      <c r="D122" s="74" t="s">
        <v>196</v>
      </c>
      <c r="E122" s="74" t="s">
        <v>2458</v>
      </c>
      <c r="F122" s="208"/>
    </row>
    <row r="123" spans="1:6" s="207" customFormat="1" ht="30" x14ac:dyDescent="0.25">
      <c r="A123" s="74">
        <v>120</v>
      </c>
      <c r="B123" s="74">
        <v>7</v>
      </c>
      <c r="C123" s="74" t="s">
        <v>193</v>
      </c>
      <c r="D123" s="74" t="s">
        <v>196</v>
      </c>
      <c r="E123" s="74" t="s">
        <v>1391</v>
      </c>
      <c r="F123" s="208"/>
    </row>
    <row r="124" spans="1:6" s="207" customFormat="1" ht="60" x14ac:dyDescent="0.25">
      <c r="A124" s="74">
        <v>121</v>
      </c>
      <c r="B124" s="74">
        <v>7</v>
      </c>
      <c r="C124" s="74" t="s">
        <v>193</v>
      </c>
      <c r="D124" s="74" t="s">
        <v>196</v>
      </c>
      <c r="E124" s="74" t="s">
        <v>2309</v>
      </c>
      <c r="F124" s="208"/>
    </row>
    <row r="125" spans="1:6" s="207" customFormat="1" ht="30" x14ac:dyDescent="0.25">
      <c r="A125" s="74">
        <v>122</v>
      </c>
      <c r="B125" s="74">
        <v>8</v>
      </c>
      <c r="C125" s="74" t="s">
        <v>193</v>
      </c>
      <c r="D125" s="74" t="s">
        <v>196</v>
      </c>
      <c r="E125" s="74" t="s">
        <v>1392</v>
      </c>
      <c r="F125" s="208"/>
    </row>
    <row r="126" spans="1:6" s="207" customFormat="1" ht="30" x14ac:dyDescent="0.25">
      <c r="A126" s="74">
        <v>123</v>
      </c>
      <c r="B126" s="74">
        <v>9</v>
      </c>
      <c r="C126" s="74" t="s">
        <v>193</v>
      </c>
      <c r="D126" s="74" t="s">
        <v>196</v>
      </c>
      <c r="E126" s="74" t="s">
        <v>2310</v>
      </c>
      <c r="F126" s="208"/>
    </row>
    <row r="127" spans="1:6" s="207" customFormat="1" ht="30" x14ac:dyDescent="0.25">
      <c r="A127" s="74">
        <v>124</v>
      </c>
      <c r="B127" s="74">
        <v>10</v>
      </c>
      <c r="C127" s="74" t="s">
        <v>193</v>
      </c>
      <c r="D127" s="74" t="s">
        <v>196</v>
      </c>
      <c r="E127" s="74" t="s">
        <v>2311</v>
      </c>
      <c r="F127" s="208"/>
    </row>
    <row r="128" spans="1:6" s="207" customFormat="1" ht="15" x14ac:dyDescent="0.25">
      <c r="A128" s="74">
        <v>125</v>
      </c>
      <c r="B128" s="74">
        <v>1</v>
      </c>
      <c r="C128" s="74" t="s">
        <v>193</v>
      </c>
      <c r="D128" s="74" t="s">
        <v>213</v>
      </c>
      <c r="E128" s="74" t="s">
        <v>1715</v>
      </c>
      <c r="F128" s="208"/>
    </row>
    <row r="129" spans="1:6" s="207" customFormat="1" ht="30" x14ac:dyDescent="0.25">
      <c r="A129" s="74">
        <v>126</v>
      </c>
      <c r="B129" s="74">
        <v>2</v>
      </c>
      <c r="C129" s="74" t="s">
        <v>193</v>
      </c>
      <c r="D129" s="74" t="s">
        <v>213</v>
      </c>
      <c r="E129" s="74" t="s">
        <v>1716</v>
      </c>
      <c r="F129" s="208"/>
    </row>
    <row r="130" spans="1:6" s="207" customFormat="1" ht="30" x14ac:dyDescent="0.25">
      <c r="A130" s="74">
        <v>127</v>
      </c>
      <c r="B130" s="74">
        <v>3</v>
      </c>
      <c r="C130" s="74" t="s">
        <v>193</v>
      </c>
      <c r="D130" s="74" t="s">
        <v>213</v>
      </c>
      <c r="E130" s="74" t="s">
        <v>1717</v>
      </c>
      <c r="F130" s="208"/>
    </row>
    <row r="131" spans="1:6" s="207" customFormat="1" ht="30" x14ac:dyDescent="0.25">
      <c r="A131" s="74">
        <v>128</v>
      </c>
      <c r="B131" s="74">
        <v>3</v>
      </c>
      <c r="C131" s="74" t="s">
        <v>193</v>
      </c>
      <c r="D131" s="74" t="s">
        <v>213</v>
      </c>
      <c r="E131" s="74" t="s">
        <v>1718</v>
      </c>
      <c r="F131" s="208"/>
    </row>
    <row r="132" spans="1:6" s="207" customFormat="1" ht="30" x14ac:dyDescent="0.25">
      <c r="A132" s="74">
        <v>129</v>
      </c>
      <c r="B132" s="74">
        <v>4</v>
      </c>
      <c r="C132" s="74" t="s">
        <v>193</v>
      </c>
      <c r="D132" s="74" t="s">
        <v>213</v>
      </c>
      <c r="E132" s="74" t="s">
        <v>2459</v>
      </c>
      <c r="F132" s="208"/>
    </row>
    <row r="133" spans="1:6" s="207" customFormat="1" ht="15" x14ac:dyDescent="0.25">
      <c r="A133" s="74">
        <v>130</v>
      </c>
      <c r="B133" s="74">
        <v>4</v>
      </c>
      <c r="C133" s="74" t="s">
        <v>193</v>
      </c>
      <c r="D133" s="74" t="s">
        <v>213</v>
      </c>
      <c r="E133" s="74" t="s">
        <v>1719</v>
      </c>
      <c r="F133" s="208"/>
    </row>
    <row r="134" spans="1:6" s="207" customFormat="1" ht="15" x14ac:dyDescent="0.25">
      <c r="A134" s="74">
        <v>131</v>
      </c>
      <c r="B134" s="74">
        <v>4</v>
      </c>
      <c r="C134" s="74" t="s">
        <v>193</v>
      </c>
      <c r="D134" s="74" t="s">
        <v>213</v>
      </c>
      <c r="E134" s="74" t="s">
        <v>1720</v>
      </c>
      <c r="F134" s="208"/>
    </row>
    <row r="135" spans="1:6" s="207" customFormat="1" ht="30" x14ac:dyDescent="0.25">
      <c r="A135" s="74">
        <v>132</v>
      </c>
      <c r="B135" s="74">
        <v>5</v>
      </c>
      <c r="C135" s="74" t="s">
        <v>193</v>
      </c>
      <c r="D135" s="74" t="s">
        <v>213</v>
      </c>
      <c r="E135" s="74" t="s">
        <v>2312</v>
      </c>
      <c r="F135" s="208"/>
    </row>
    <row r="136" spans="1:6" s="207" customFormat="1" ht="60" x14ac:dyDescent="0.25">
      <c r="A136" s="74">
        <v>133</v>
      </c>
      <c r="B136" s="74">
        <v>5</v>
      </c>
      <c r="C136" s="74" t="s">
        <v>193</v>
      </c>
      <c r="D136" s="74" t="s">
        <v>213</v>
      </c>
      <c r="E136" s="74" t="s">
        <v>2460</v>
      </c>
      <c r="F136" s="208"/>
    </row>
    <row r="137" spans="1:6" s="207" customFormat="1" ht="30" x14ac:dyDescent="0.25">
      <c r="A137" s="74">
        <v>134</v>
      </c>
      <c r="B137" s="74">
        <v>6</v>
      </c>
      <c r="C137" s="74" t="s">
        <v>193</v>
      </c>
      <c r="D137" s="74" t="s">
        <v>213</v>
      </c>
      <c r="E137" s="74" t="s">
        <v>2313</v>
      </c>
      <c r="F137" s="208"/>
    </row>
    <row r="138" spans="1:6" s="207" customFormat="1" ht="15" x14ac:dyDescent="0.25">
      <c r="A138" s="74">
        <v>135</v>
      </c>
      <c r="B138" s="74">
        <v>6</v>
      </c>
      <c r="C138" s="74" t="s">
        <v>193</v>
      </c>
      <c r="D138" s="74" t="s">
        <v>213</v>
      </c>
      <c r="E138" s="74" t="s">
        <v>712</v>
      </c>
      <c r="F138" s="208"/>
    </row>
    <row r="139" spans="1:6" s="207" customFormat="1" ht="15" x14ac:dyDescent="0.25">
      <c r="A139" s="74">
        <v>136</v>
      </c>
      <c r="B139" s="74">
        <v>6</v>
      </c>
      <c r="C139" s="74" t="s">
        <v>193</v>
      </c>
      <c r="D139" s="74" t="s">
        <v>213</v>
      </c>
      <c r="E139" s="74" t="s">
        <v>713</v>
      </c>
      <c r="F139" s="208"/>
    </row>
    <row r="140" spans="1:6" s="207" customFormat="1" ht="15" x14ac:dyDescent="0.25">
      <c r="A140" s="74">
        <v>137</v>
      </c>
      <c r="B140" s="74">
        <v>6</v>
      </c>
      <c r="C140" s="74" t="s">
        <v>193</v>
      </c>
      <c r="D140" s="74" t="s">
        <v>213</v>
      </c>
      <c r="E140" s="74" t="s">
        <v>1393</v>
      </c>
      <c r="F140" s="208"/>
    </row>
    <row r="141" spans="1:6" s="207" customFormat="1" ht="30" x14ac:dyDescent="0.25">
      <c r="A141" s="74">
        <v>138</v>
      </c>
      <c r="B141" s="74">
        <v>7</v>
      </c>
      <c r="C141" s="74" t="s">
        <v>193</v>
      </c>
      <c r="D141" s="74" t="s">
        <v>213</v>
      </c>
      <c r="E141" s="74" t="s">
        <v>1394</v>
      </c>
      <c r="F141" s="208"/>
    </row>
    <row r="142" spans="1:6" s="207" customFormat="1" ht="15" x14ac:dyDescent="0.25">
      <c r="A142" s="74">
        <v>139</v>
      </c>
      <c r="B142" s="74">
        <v>7</v>
      </c>
      <c r="C142" s="74" t="s">
        <v>193</v>
      </c>
      <c r="D142" s="74" t="s">
        <v>213</v>
      </c>
      <c r="E142" s="74" t="s">
        <v>1395</v>
      </c>
      <c r="F142" s="208"/>
    </row>
    <row r="143" spans="1:6" s="207" customFormat="1" ht="45" x14ac:dyDescent="0.25">
      <c r="A143" s="74">
        <v>140</v>
      </c>
      <c r="B143" s="74">
        <v>7</v>
      </c>
      <c r="C143" s="74" t="s">
        <v>193</v>
      </c>
      <c r="D143" s="74" t="s">
        <v>213</v>
      </c>
      <c r="E143" s="74" t="s">
        <v>2461</v>
      </c>
      <c r="F143" s="208"/>
    </row>
    <row r="144" spans="1:6" s="207" customFormat="1" ht="15" x14ac:dyDescent="0.25">
      <c r="A144" s="74">
        <v>141</v>
      </c>
      <c r="B144" s="74">
        <v>7</v>
      </c>
      <c r="C144" s="74" t="s">
        <v>193</v>
      </c>
      <c r="D144" s="74" t="s">
        <v>213</v>
      </c>
      <c r="E144" s="74" t="s">
        <v>1396</v>
      </c>
      <c r="F144" s="210"/>
    </row>
    <row r="145" spans="1:6" s="207" customFormat="1" ht="15" x14ac:dyDescent="0.25">
      <c r="A145" s="74">
        <v>142</v>
      </c>
      <c r="B145" s="74">
        <v>7</v>
      </c>
      <c r="C145" s="74" t="s">
        <v>193</v>
      </c>
      <c r="D145" s="74" t="s">
        <v>213</v>
      </c>
      <c r="E145" s="74" t="s">
        <v>1397</v>
      </c>
      <c r="F145" s="208"/>
    </row>
    <row r="146" spans="1:6" s="207" customFormat="1" ht="30" x14ac:dyDescent="0.25">
      <c r="A146" s="74">
        <v>143</v>
      </c>
      <c r="B146" s="74">
        <v>8</v>
      </c>
      <c r="C146" s="74" t="s">
        <v>193</v>
      </c>
      <c r="D146" s="74" t="s">
        <v>213</v>
      </c>
      <c r="E146" s="74" t="s">
        <v>1398</v>
      </c>
      <c r="F146" s="208"/>
    </row>
    <row r="147" spans="1:6" s="207" customFormat="1" ht="30" x14ac:dyDescent="0.25">
      <c r="A147" s="74">
        <v>144</v>
      </c>
      <c r="B147" s="74">
        <v>8</v>
      </c>
      <c r="C147" s="74" t="s">
        <v>193</v>
      </c>
      <c r="D147" s="74" t="s">
        <v>213</v>
      </c>
      <c r="E147" s="74" t="s">
        <v>1399</v>
      </c>
      <c r="F147" s="208"/>
    </row>
    <row r="148" spans="1:6" s="207" customFormat="1" ht="15" x14ac:dyDescent="0.25">
      <c r="A148" s="74">
        <v>145</v>
      </c>
      <c r="B148" s="74">
        <v>8</v>
      </c>
      <c r="C148" s="74" t="s">
        <v>193</v>
      </c>
      <c r="D148" s="74" t="s">
        <v>213</v>
      </c>
      <c r="E148" s="74" t="s">
        <v>1400</v>
      </c>
      <c r="F148" s="210"/>
    </row>
    <row r="149" spans="1:6" s="207" customFormat="1" ht="15" x14ac:dyDescent="0.25">
      <c r="A149" s="74">
        <v>146</v>
      </c>
      <c r="B149" s="74">
        <v>8</v>
      </c>
      <c r="C149" s="74" t="s">
        <v>193</v>
      </c>
      <c r="D149" s="74" t="s">
        <v>213</v>
      </c>
      <c r="E149" s="74" t="s">
        <v>1397</v>
      </c>
      <c r="F149" s="210"/>
    </row>
    <row r="150" spans="1:6" s="207" customFormat="1" ht="15" x14ac:dyDescent="0.25">
      <c r="A150" s="74">
        <v>147</v>
      </c>
      <c r="B150" s="74">
        <v>9</v>
      </c>
      <c r="C150" s="74" t="s">
        <v>193</v>
      </c>
      <c r="D150" s="74" t="s">
        <v>213</v>
      </c>
      <c r="E150" s="74" t="s">
        <v>2314</v>
      </c>
      <c r="F150" s="208"/>
    </row>
    <row r="151" spans="1:6" s="207" customFormat="1" ht="15" x14ac:dyDescent="0.25">
      <c r="A151" s="74">
        <v>148</v>
      </c>
      <c r="B151" s="74">
        <v>9</v>
      </c>
      <c r="C151" s="74" t="s">
        <v>193</v>
      </c>
      <c r="D151" s="74" t="s">
        <v>213</v>
      </c>
      <c r="E151" s="74" t="s">
        <v>2462</v>
      </c>
      <c r="F151" s="208"/>
    </row>
    <row r="152" spans="1:6" s="207" customFormat="1" ht="15" x14ac:dyDescent="0.25">
      <c r="A152" s="74">
        <v>149</v>
      </c>
      <c r="B152" s="74">
        <v>9</v>
      </c>
      <c r="C152" s="74" t="s">
        <v>193</v>
      </c>
      <c r="D152" s="74" t="s">
        <v>213</v>
      </c>
      <c r="E152" s="74" t="s">
        <v>1400</v>
      </c>
      <c r="F152" s="208"/>
    </row>
    <row r="153" spans="1:6" s="207" customFormat="1" ht="15" x14ac:dyDescent="0.25">
      <c r="A153" s="74">
        <v>150</v>
      </c>
      <c r="B153" s="74">
        <v>9</v>
      </c>
      <c r="C153" s="74" t="s">
        <v>193</v>
      </c>
      <c r="D153" s="74" t="s">
        <v>213</v>
      </c>
      <c r="E153" s="74" t="s">
        <v>724</v>
      </c>
      <c r="F153" s="208"/>
    </row>
    <row r="154" spans="1:6" s="207" customFormat="1" ht="30" x14ac:dyDescent="0.25">
      <c r="A154" s="74">
        <v>151</v>
      </c>
      <c r="B154" s="74">
        <v>9</v>
      </c>
      <c r="C154" s="74" t="s">
        <v>193</v>
      </c>
      <c r="D154" s="74" t="s">
        <v>213</v>
      </c>
      <c r="E154" s="74" t="s">
        <v>725</v>
      </c>
      <c r="F154" s="208"/>
    </row>
    <row r="155" spans="1:6" s="207" customFormat="1" ht="15" x14ac:dyDescent="0.25">
      <c r="A155" s="74">
        <v>152</v>
      </c>
      <c r="B155" s="74">
        <v>10</v>
      </c>
      <c r="C155" s="74" t="s">
        <v>193</v>
      </c>
      <c r="D155" s="74" t="s">
        <v>213</v>
      </c>
      <c r="E155" s="74" t="s">
        <v>2315</v>
      </c>
      <c r="F155" s="208"/>
    </row>
    <row r="156" spans="1:6" s="207" customFormat="1" ht="15" x14ac:dyDescent="0.25">
      <c r="A156" s="74">
        <v>153</v>
      </c>
      <c r="B156" s="74">
        <v>10</v>
      </c>
      <c r="C156" s="74" t="s">
        <v>193</v>
      </c>
      <c r="D156" s="74" t="s">
        <v>213</v>
      </c>
      <c r="E156" s="74" t="s">
        <v>1401</v>
      </c>
      <c r="F156" s="208"/>
    </row>
    <row r="157" spans="1:6" s="207" customFormat="1" ht="15" x14ac:dyDescent="0.25">
      <c r="A157" s="74">
        <v>154</v>
      </c>
      <c r="B157" s="74">
        <v>1</v>
      </c>
      <c r="C157" s="74" t="s">
        <v>193</v>
      </c>
      <c r="D157" s="74" t="s">
        <v>227</v>
      </c>
      <c r="E157" s="74" t="s">
        <v>1721</v>
      </c>
      <c r="F157" s="208"/>
    </row>
    <row r="158" spans="1:6" s="207" customFormat="1" ht="30" x14ac:dyDescent="0.25">
      <c r="A158" s="74">
        <v>155</v>
      </c>
      <c r="B158" s="74">
        <v>2</v>
      </c>
      <c r="C158" s="74" t="s">
        <v>193</v>
      </c>
      <c r="D158" s="74" t="s">
        <v>227</v>
      </c>
      <c r="E158" s="74" t="s">
        <v>729</v>
      </c>
      <c r="F158" s="208"/>
    </row>
    <row r="159" spans="1:6" s="207" customFormat="1" ht="30" x14ac:dyDescent="0.25">
      <c r="A159" s="74">
        <v>156</v>
      </c>
      <c r="B159" s="74">
        <v>2</v>
      </c>
      <c r="C159" s="74" t="s">
        <v>193</v>
      </c>
      <c r="D159" s="74" t="s">
        <v>227</v>
      </c>
      <c r="E159" s="74" t="s">
        <v>1722</v>
      </c>
      <c r="F159" s="208"/>
    </row>
    <row r="160" spans="1:6" s="207" customFormat="1" ht="30" x14ac:dyDescent="0.25">
      <c r="A160" s="74">
        <v>157</v>
      </c>
      <c r="B160" s="74">
        <v>3</v>
      </c>
      <c r="C160" s="74" t="s">
        <v>193</v>
      </c>
      <c r="D160" s="74" t="s">
        <v>227</v>
      </c>
      <c r="E160" s="74" t="s">
        <v>1261</v>
      </c>
      <c r="F160" s="208"/>
    </row>
    <row r="161" spans="1:6" s="207" customFormat="1" ht="30" x14ac:dyDescent="0.25">
      <c r="A161" s="74">
        <v>158</v>
      </c>
      <c r="B161" s="74">
        <v>3</v>
      </c>
      <c r="C161" s="74" t="s">
        <v>193</v>
      </c>
      <c r="D161" s="74" t="s">
        <v>227</v>
      </c>
      <c r="E161" s="74" t="s">
        <v>1723</v>
      </c>
      <c r="F161" s="208"/>
    </row>
    <row r="162" spans="1:6" s="207" customFormat="1" ht="15" x14ac:dyDescent="0.25">
      <c r="A162" s="74">
        <v>159</v>
      </c>
      <c r="B162" s="74">
        <v>4</v>
      </c>
      <c r="C162" s="74" t="s">
        <v>193</v>
      </c>
      <c r="D162" s="74" t="s">
        <v>227</v>
      </c>
      <c r="E162" s="74" t="s">
        <v>1724</v>
      </c>
      <c r="F162" s="208"/>
    </row>
    <row r="163" spans="1:6" s="207" customFormat="1" ht="30" x14ac:dyDescent="0.25">
      <c r="A163" s="74">
        <v>160</v>
      </c>
      <c r="B163" s="74">
        <v>4</v>
      </c>
      <c r="C163" s="74" t="s">
        <v>193</v>
      </c>
      <c r="D163" s="74" t="s">
        <v>227</v>
      </c>
      <c r="E163" s="74" t="s">
        <v>1525</v>
      </c>
      <c r="F163" s="208"/>
    </row>
    <row r="164" spans="1:6" s="207" customFormat="1" ht="30" x14ac:dyDescent="0.25">
      <c r="A164" s="74">
        <v>161</v>
      </c>
      <c r="B164" s="74">
        <v>4</v>
      </c>
      <c r="C164" s="74" t="s">
        <v>193</v>
      </c>
      <c r="D164" s="74" t="s">
        <v>227</v>
      </c>
      <c r="E164" s="74" t="s">
        <v>2463</v>
      </c>
      <c r="F164" s="208"/>
    </row>
    <row r="165" spans="1:6" s="207" customFormat="1" ht="30" x14ac:dyDescent="0.25">
      <c r="A165" s="74">
        <v>162</v>
      </c>
      <c r="B165" s="74">
        <v>4</v>
      </c>
      <c r="C165" s="74" t="s">
        <v>193</v>
      </c>
      <c r="D165" s="74" t="s">
        <v>227</v>
      </c>
      <c r="E165" s="74" t="s">
        <v>2316</v>
      </c>
      <c r="F165" s="208"/>
    </row>
    <row r="166" spans="1:6" s="207" customFormat="1" ht="30" x14ac:dyDescent="0.25">
      <c r="A166" s="74">
        <v>163</v>
      </c>
      <c r="B166" s="74">
        <v>5</v>
      </c>
      <c r="C166" s="74" t="s">
        <v>193</v>
      </c>
      <c r="D166" s="74" t="s">
        <v>227</v>
      </c>
      <c r="E166" s="74" t="s">
        <v>2317</v>
      </c>
      <c r="F166" s="208"/>
    </row>
    <row r="167" spans="1:6" s="207" customFormat="1" ht="30" x14ac:dyDescent="0.25">
      <c r="A167" s="74">
        <v>164</v>
      </c>
      <c r="B167" s="74">
        <v>5</v>
      </c>
      <c r="C167" s="74" t="s">
        <v>193</v>
      </c>
      <c r="D167" s="74" t="s">
        <v>227</v>
      </c>
      <c r="E167" s="74" t="s">
        <v>2318</v>
      </c>
      <c r="F167" s="208"/>
    </row>
    <row r="168" spans="1:6" s="207" customFormat="1" ht="30" x14ac:dyDescent="0.25">
      <c r="A168" s="74">
        <v>165</v>
      </c>
      <c r="B168" s="74">
        <v>6</v>
      </c>
      <c r="C168" s="74" t="s">
        <v>193</v>
      </c>
      <c r="D168" s="74" t="s">
        <v>227</v>
      </c>
      <c r="E168" s="74" t="s">
        <v>2319</v>
      </c>
      <c r="F168" s="208"/>
    </row>
    <row r="169" spans="1:6" s="207" customFormat="1" ht="30" x14ac:dyDescent="0.25">
      <c r="A169" s="74">
        <v>166</v>
      </c>
      <c r="B169" s="74">
        <v>6</v>
      </c>
      <c r="C169" s="74" t="s">
        <v>193</v>
      </c>
      <c r="D169" s="74" t="s">
        <v>227</v>
      </c>
      <c r="E169" s="74" t="s">
        <v>2464</v>
      </c>
      <c r="F169" s="208"/>
    </row>
    <row r="170" spans="1:6" s="207" customFormat="1" ht="30" x14ac:dyDescent="0.25">
      <c r="A170" s="74">
        <v>167</v>
      </c>
      <c r="B170" s="74">
        <v>6</v>
      </c>
      <c r="C170" s="74" t="s">
        <v>193</v>
      </c>
      <c r="D170" s="74" t="s">
        <v>227</v>
      </c>
      <c r="E170" s="74" t="s">
        <v>2465</v>
      </c>
      <c r="F170" s="208"/>
    </row>
    <row r="171" spans="1:6" s="207" customFormat="1" ht="30" x14ac:dyDescent="0.25">
      <c r="A171" s="74">
        <v>168</v>
      </c>
      <c r="B171" s="74">
        <v>6</v>
      </c>
      <c r="C171" s="74" t="s">
        <v>193</v>
      </c>
      <c r="D171" s="74" t="s">
        <v>227</v>
      </c>
      <c r="E171" s="74" t="s">
        <v>2320</v>
      </c>
      <c r="F171" s="208"/>
    </row>
    <row r="172" spans="1:6" s="207" customFormat="1" ht="30" x14ac:dyDescent="0.25">
      <c r="A172" s="74">
        <v>169</v>
      </c>
      <c r="B172" s="74">
        <v>7</v>
      </c>
      <c r="C172" s="74" t="s">
        <v>193</v>
      </c>
      <c r="D172" s="74" t="s">
        <v>227</v>
      </c>
      <c r="E172" s="74" t="s">
        <v>2321</v>
      </c>
      <c r="F172" s="208"/>
    </row>
    <row r="173" spans="1:6" s="207" customFormat="1" ht="30" x14ac:dyDescent="0.25">
      <c r="A173" s="74">
        <v>170</v>
      </c>
      <c r="B173" s="74">
        <v>7</v>
      </c>
      <c r="C173" s="74" t="s">
        <v>193</v>
      </c>
      <c r="D173" s="74" t="s">
        <v>227</v>
      </c>
      <c r="E173" s="74" t="s">
        <v>2322</v>
      </c>
      <c r="F173" s="208"/>
    </row>
    <row r="174" spans="1:6" s="207" customFormat="1" ht="30" x14ac:dyDescent="0.25">
      <c r="A174" s="74">
        <v>171</v>
      </c>
      <c r="B174" s="74">
        <v>8</v>
      </c>
      <c r="C174" s="74" t="s">
        <v>193</v>
      </c>
      <c r="D174" s="74" t="s">
        <v>227</v>
      </c>
      <c r="E174" s="74" t="s">
        <v>2323</v>
      </c>
      <c r="F174" s="208"/>
    </row>
    <row r="175" spans="1:6" s="207" customFormat="1" ht="15" x14ac:dyDescent="0.25">
      <c r="A175" s="74">
        <v>172</v>
      </c>
      <c r="B175" s="74">
        <v>8</v>
      </c>
      <c r="C175" s="74" t="s">
        <v>193</v>
      </c>
      <c r="D175" s="74" t="s">
        <v>227</v>
      </c>
      <c r="E175" s="74" t="s">
        <v>2324</v>
      </c>
      <c r="F175" s="208"/>
    </row>
    <row r="176" spans="1:6" s="207" customFormat="1" ht="30" x14ac:dyDescent="0.25">
      <c r="A176" s="74">
        <v>173</v>
      </c>
      <c r="B176" s="74">
        <v>8</v>
      </c>
      <c r="C176" s="74" t="s">
        <v>193</v>
      </c>
      <c r="D176" s="74" t="s">
        <v>227</v>
      </c>
      <c r="E176" s="74" t="s">
        <v>2325</v>
      </c>
      <c r="F176" s="208"/>
    </row>
    <row r="177" spans="1:6" s="207" customFormat="1" ht="15" x14ac:dyDescent="0.25">
      <c r="A177" s="74">
        <v>174</v>
      </c>
      <c r="B177" s="74">
        <v>9</v>
      </c>
      <c r="C177" s="74" t="s">
        <v>193</v>
      </c>
      <c r="D177" s="74" t="s">
        <v>227</v>
      </c>
      <c r="E177" s="74" t="s">
        <v>2326</v>
      </c>
      <c r="F177" s="208"/>
    </row>
    <row r="178" spans="1:6" s="207" customFormat="1" ht="30" x14ac:dyDescent="0.25">
      <c r="A178" s="74">
        <v>175</v>
      </c>
      <c r="B178" s="74">
        <v>9</v>
      </c>
      <c r="C178" s="74" t="s">
        <v>193</v>
      </c>
      <c r="D178" s="74" t="s">
        <v>227</v>
      </c>
      <c r="E178" s="74" t="s">
        <v>2327</v>
      </c>
      <c r="F178" s="208"/>
    </row>
    <row r="179" spans="1:6" s="207" customFormat="1" ht="30" x14ac:dyDescent="0.25">
      <c r="A179" s="74">
        <v>176</v>
      </c>
      <c r="B179" s="74">
        <v>10</v>
      </c>
      <c r="C179" s="74" t="s">
        <v>193</v>
      </c>
      <c r="D179" s="74" t="s">
        <v>227</v>
      </c>
      <c r="E179" s="74" t="s">
        <v>1402</v>
      </c>
      <c r="F179" s="208"/>
    </row>
    <row r="180" spans="1:6" s="207" customFormat="1" ht="30" x14ac:dyDescent="0.25">
      <c r="A180" s="74">
        <v>177</v>
      </c>
      <c r="B180" s="74">
        <v>1</v>
      </c>
      <c r="C180" s="74" t="s">
        <v>748</v>
      </c>
      <c r="D180" s="74" t="s">
        <v>243</v>
      </c>
      <c r="E180" s="74" t="s">
        <v>1725</v>
      </c>
      <c r="F180" s="208"/>
    </row>
    <row r="181" spans="1:6" s="207" customFormat="1" ht="30" x14ac:dyDescent="0.25">
      <c r="A181" s="74">
        <v>178</v>
      </c>
      <c r="B181" s="74">
        <v>2</v>
      </c>
      <c r="C181" s="74" t="s">
        <v>748</v>
      </c>
      <c r="D181" s="74" t="s">
        <v>243</v>
      </c>
      <c r="E181" s="74" t="s">
        <v>1726</v>
      </c>
      <c r="F181" s="208"/>
    </row>
    <row r="182" spans="1:6" s="207" customFormat="1" ht="30" x14ac:dyDescent="0.25">
      <c r="A182" s="74">
        <v>179</v>
      </c>
      <c r="B182" s="74">
        <v>3</v>
      </c>
      <c r="C182" s="74" t="s">
        <v>748</v>
      </c>
      <c r="D182" s="74" t="s">
        <v>243</v>
      </c>
      <c r="E182" s="74" t="s">
        <v>1727</v>
      </c>
      <c r="F182" s="208"/>
    </row>
    <row r="183" spans="1:6" s="207" customFormat="1" ht="30" x14ac:dyDescent="0.25">
      <c r="A183" s="74">
        <v>180</v>
      </c>
      <c r="B183" s="74">
        <v>4</v>
      </c>
      <c r="C183" s="74" t="s">
        <v>748</v>
      </c>
      <c r="D183" s="74" t="s">
        <v>243</v>
      </c>
      <c r="E183" s="74" t="s">
        <v>1728</v>
      </c>
      <c r="F183" s="208"/>
    </row>
    <row r="184" spans="1:6" s="207" customFormat="1" ht="30" x14ac:dyDescent="0.25">
      <c r="A184" s="74">
        <v>181</v>
      </c>
      <c r="B184" s="74">
        <v>5</v>
      </c>
      <c r="C184" s="74" t="s">
        <v>748</v>
      </c>
      <c r="D184" s="74" t="s">
        <v>243</v>
      </c>
      <c r="E184" s="74" t="s">
        <v>2328</v>
      </c>
      <c r="F184" s="208"/>
    </row>
    <row r="185" spans="1:6" s="207" customFormat="1" ht="30" x14ac:dyDescent="0.25">
      <c r="A185" s="74">
        <v>182</v>
      </c>
      <c r="B185" s="74">
        <v>5</v>
      </c>
      <c r="C185" s="74" t="s">
        <v>748</v>
      </c>
      <c r="D185" s="74" t="s">
        <v>243</v>
      </c>
      <c r="E185" s="74" t="s">
        <v>1403</v>
      </c>
      <c r="F185" s="208"/>
    </row>
    <row r="186" spans="1:6" s="207" customFormat="1" ht="30" x14ac:dyDescent="0.25">
      <c r="A186" s="74">
        <v>183</v>
      </c>
      <c r="B186" s="74">
        <v>5</v>
      </c>
      <c r="C186" s="74" t="s">
        <v>748</v>
      </c>
      <c r="D186" s="74" t="s">
        <v>243</v>
      </c>
      <c r="E186" s="74" t="s">
        <v>1404</v>
      </c>
      <c r="F186" s="208"/>
    </row>
    <row r="187" spans="1:6" s="207" customFormat="1" ht="30" x14ac:dyDescent="0.25">
      <c r="A187" s="74">
        <v>184</v>
      </c>
      <c r="B187" s="74">
        <v>6</v>
      </c>
      <c r="C187" s="74" t="s">
        <v>748</v>
      </c>
      <c r="D187" s="74" t="s">
        <v>243</v>
      </c>
      <c r="E187" s="74" t="s">
        <v>1405</v>
      </c>
      <c r="F187" s="208"/>
    </row>
    <row r="188" spans="1:6" s="207" customFormat="1" ht="15" x14ac:dyDescent="0.25">
      <c r="A188" s="74">
        <v>185</v>
      </c>
      <c r="B188" s="74">
        <v>6</v>
      </c>
      <c r="C188" s="74" t="s">
        <v>748</v>
      </c>
      <c r="D188" s="74" t="s">
        <v>243</v>
      </c>
      <c r="E188" s="74" t="s">
        <v>756</v>
      </c>
      <c r="F188" s="208"/>
    </row>
    <row r="189" spans="1:6" s="207" customFormat="1" ht="30" x14ac:dyDescent="0.25">
      <c r="A189" s="74">
        <v>186</v>
      </c>
      <c r="B189" s="74">
        <v>6</v>
      </c>
      <c r="C189" s="74" t="s">
        <v>748</v>
      </c>
      <c r="D189" s="74" t="s">
        <v>243</v>
      </c>
      <c r="E189" s="74" t="s">
        <v>2466</v>
      </c>
      <c r="F189" s="208"/>
    </row>
    <row r="190" spans="1:6" s="207" customFormat="1" ht="15" x14ac:dyDescent="0.25">
      <c r="A190" s="74">
        <v>187</v>
      </c>
      <c r="B190" s="74">
        <v>7</v>
      </c>
      <c r="C190" s="74" t="s">
        <v>748</v>
      </c>
      <c r="D190" s="74" t="s">
        <v>243</v>
      </c>
      <c r="E190" s="74" t="s">
        <v>758</v>
      </c>
      <c r="F190" s="208"/>
    </row>
    <row r="191" spans="1:6" s="207" customFormat="1" ht="15" x14ac:dyDescent="0.25">
      <c r="A191" s="74">
        <v>188</v>
      </c>
      <c r="B191" s="74">
        <v>7</v>
      </c>
      <c r="C191" s="74" t="s">
        <v>748</v>
      </c>
      <c r="D191" s="74" t="s">
        <v>243</v>
      </c>
      <c r="E191" s="74" t="s">
        <v>759</v>
      </c>
      <c r="F191" s="208"/>
    </row>
    <row r="192" spans="1:6" s="207" customFormat="1" ht="30" x14ac:dyDescent="0.25">
      <c r="A192" s="74">
        <v>189</v>
      </c>
      <c r="B192" s="74">
        <v>8</v>
      </c>
      <c r="C192" s="74" t="s">
        <v>748</v>
      </c>
      <c r="D192" s="74" t="s">
        <v>243</v>
      </c>
      <c r="E192" s="74" t="s">
        <v>2329</v>
      </c>
      <c r="F192" s="208"/>
    </row>
    <row r="193" spans="1:6" s="207" customFormat="1" ht="15" x14ac:dyDescent="0.25">
      <c r="A193" s="74">
        <v>190</v>
      </c>
      <c r="B193" s="74">
        <v>8</v>
      </c>
      <c r="C193" s="74" t="s">
        <v>748</v>
      </c>
      <c r="D193" s="74" t="s">
        <v>243</v>
      </c>
      <c r="E193" s="74" t="s">
        <v>1406</v>
      </c>
      <c r="F193" s="208"/>
    </row>
    <row r="194" spans="1:6" s="207" customFormat="1" ht="15" x14ac:dyDescent="0.25">
      <c r="A194" s="74">
        <v>191</v>
      </c>
      <c r="B194" s="74">
        <v>9</v>
      </c>
      <c r="C194" s="74" t="s">
        <v>748</v>
      </c>
      <c r="D194" s="74" t="s">
        <v>243</v>
      </c>
      <c r="E194" s="74" t="s">
        <v>2467</v>
      </c>
      <c r="F194" s="208"/>
    </row>
    <row r="195" spans="1:6" s="207" customFormat="1" ht="15" x14ac:dyDescent="0.25">
      <c r="A195" s="74">
        <v>192</v>
      </c>
      <c r="B195" s="74">
        <v>9</v>
      </c>
      <c r="C195" s="74" t="s">
        <v>748</v>
      </c>
      <c r="D195" s="74" t="s">
        <v>243</v>
      </c>
      <c r="E195" s="74" t="s">
        <v>1407</v>
      </c>
      <c r="F195" s="208"/>
    </row>
    <row r="196" spans="1:6" s="207" customFormat="1" ht="15" x14ac:dyDescent="0.25">
      <c r="A196" s="74">
        <v>193</v>
      </c>
      <c r="B196" s="74">
        <v>10</v>
      </c>
      <c r="C196" s="74" t="s">
        <v>748</v>
      </c>
      <c r="D196" s="74" t="s">
        <v>243</v>
      </c>
      <c r="E196" s="74" t="s">
        <v>2330</v>
      </c>
      <c r="F196" s="210"/>
    </row>
    <row r="197" spans="1:6" s="207" customFormat="1" ht="30" x14ac:dyDescent="0.25">
      <c r="A197" s="74">
        <v>194</v>
      </c>
      <c r="B197" s="74">
        <v>1</v>
      </c>
      <c r="C197" s="74" t="s">
        <v>748</v>
      </c>
      <c r="D197" s="74" t="s">
        <v>258</v>
      </c>
      <c r="E197" s="74" t="s">
        <v>1729</v>
      </c>
      <c r="F197" s="208"/>
    </row>
    <row r="198" spans="1:6" s="207" customFormat="1" ht="15" x14ac:dyDescent="0.25">
      <c r="A198" s="74">
        <v>195</v>
      </c>
      <c r="B198" s="74">
        <v>2</v>
      </c>
      <c r="C198" s="74" t="s">
        <v>748</v>
      </c>
      <c r="D198" s="74" t="s">
        <v>258</v>
      </c>
      <c r="E198" s="74" t="s">
        <v>1730</v>
      </c>
      <c r="F198" s="208"/>
    </row>
    <row r="199" spans="1:6" s="207" customFormat="1" ht="30" x14ac:dyDescent="0.25">
      <c r="A199" s="74">
        <v>196</v>
      </c>
      <c r="B199" s="74">
        <v>3</v>
      </c>
      <c r="C199" s="74" t="s">
        <v>748</v>
      </c>
      <c r="D199" s="74" t="s">
        <v>258</v>
      </c>
      <c r="E199" s="74" t="s">
        <v>1731</v>
      </c>
      <c r="F199" s="208"/>
    </row>
    <row r="200" spans="1:6" s="207" customFormat="1" ht="30" x14ac:dyDescent="0.25">
      <c r="A200" s="74">
        <v>197</v>
      </c>
      <c r="B200" s="74">
        <v>4</v>
      </c>
      <c r="C200" s="74" t="s">
        <v>748</v>
      </c>
      <c r="D200" s="74" t="s">
        <v>258</v>
      </c>
      <c r="E200" s="74" t="s">
        <v>1408</v>
      </c>
      <c r="F200" s="208"/>
    </row>
    <row r="201" spans="1:6" s="207" customFormat="1" ht="15" x14ac:dyDescent="0.25">
      <c r="A201" s="74">
        <v>198</v>
      </c>
      <c r="B201" s="74">
        <v>4</v>
      </c>
      <c r="C201" s="74" t="s">
        <v>748</v>
      </c>
      <c r="D201" s="74" t="s">
        <v>258</v>
      </c>
      <c r="E201" s="74" t="s">
        <v>768</v>
      </c>
      <c r="F201" s="208"/>
    </row>
    <row r="202" spans="1:6" s="207" customFormat="1" ht="30" x14ac:dyDescent="0.25">
      <c r="A202" s="74">
        <v>199</v>
      </c>
      <c r="B202" s="74">
        <v>4</v>
      </c>
      <c r="C202" s="74" t="s">
        <v>748</v>
      </c>
      <c r="D202" s="74" t="s">
        <v>258</v>
      </c>
      <c r="E202" s="74" t="s">
        <v>2331</v>
      </c>
      <c r="F202" s="208"/>
    </row>
    <row r="203" spans="1:6" s="207" customFormat="1" ht="30" x14ac:dyDescent="0.25">
      <c r="A203" s="74">
        <v>200</v>
      </c>
      <c r="B203" s="74">
        <v>4</v>
      </c>
      <c r="C203" s="74" t="s">
        <v>748</v>
      </c>
      <c r="D203" s="74" t="s">
        <v>258</v>
      </c>
      <c r="E203" s="74" t="s">
        <v>1732</v>
      </c>
      <c r="F203" s="208"/>
    </row>
    <row r="204" spans="1:6" s="207" customFormat="1" ht="30" x14ac:dyDescent="0.25">
      <c r="A204" s="74">
        <v>201</v>
      </c>
      <c r="B204" s="74">
        <v>5</v>
      </c>
      <c r="C204" s="74" t="s">
        <v>748</v>
      </c>
      <c r="D204" s="74" t="s">
        <v>258</v>
      </c>
      <c r="E204" s="74" t="s">
        <v>2468</v>
      </c>
      <c r="F204" s="208"/>
    </row>
    <row r="205" spans="1:6" s="207" customFormat="1" ht="15" x14ac:dyDescent="0.25">
      <c r="A205" s="74">
        <v>202</v>
      </c>
      <c r="B205" s="74">
        <v>5</v>
      </c>
      <c r="C205" s="74" t="s">
        <v>748</v>
      </c>
      <c r="D205" s="74" t="s">
        <v>258</v>
      </c>
      <c r="E205" s="74" t="s">
        <v>1409</v>
      </c>
      <c r="F205" s="208"/>
    </row>
    <row r="206" spans="1:6" s="207" customFormat="1" ht="15" x14ac:dyDescent="0.25">
      <c r="A206" s="74">
        <v>203</v>
      </c>
      <c r="B206" s="74">
        <v>5</v>
      </c>
      <c r="C206" s="74" t="s">
        <v>748</v>
      </c>
      <c r="D206" s="74" t="s">
        <v>258</v>
      </c>
      <c r="E206" s="74" t="s">
        <v>2332</v>
      </c>
      <c r="F206" s="208"/>
    </row>
    <row r="207" spans="1:6" s="207" customFormat="1" ht="15" x14ac:dyDescent="0.25">
      <c r="A207" s="74">
        <v>204</v>
      </c>
      <c r="B207" s="74">
        <v>5</v>
      </c>
      <c r="C207" s="74" t="s">
        <v>748</v>
      </c>
      <c r="D207" s="74" t="s">
        <v>258</v>
      </c>
      <c r="E207" s="74" t="s">
        <v>1410</v>
      </c>
      <c r="F207" s="210"/>
    </row>
    <row r="208" spans="1:6" s="207" customFormat="1" ht="30" x14ac:dyDescent="0.25">
      <c r="A208" s="74">
        <v>205</v>
      </c>
      <c r="B208" s="74">
        <v>6</v>
      </c>
      <c r="C208" s="74" t="s">
        <v>748</v>
      </c>
      <c r="D208" s="74" t="s">
        <v>258</v>
      </c>
      <c r="E208" s="74" t="s">
        <v>1411</v>
      </c>
      <c r="F208" s="208"/>
    </row>
    <row r="209" spans="1:6" s="207" customFormat="1" ht="30" x14ac:dyDescent="0.25">
      <c r="A209" s="74">
        <v>206</v>
      </c>
      <c r="B209" s="74">
        <v>6</v>
      </c>
      <c r="C209" s="74" t="s">
        <v>748</v>
      </c>
      <c r="D209" s="74" t="s">
        <v>258</v>
      </c>
      <c r="E209" s="74" t="s">
        <v>2333</v>
      </c>
      <c r="F209" s="208"/>
    </row>
    <row r="210" spans="1:6" s="207" customFormat="1" ht="30" x14ac:dyDescent="0.25">
      <c r="A210" s="74">
        <v>207</v>
      </c>
      <c r="B210" s="74">
        <v>6</v>
      </c>
      <c r="C210" s="74" t="s">
        <v>748</v>
      </c>
      <c r="D210" s="74" t="s">
        <v>258</v>
      </c>
      <c r="E210" s="74" t="s">
        <v>2469</v>
      </c>
      <c r="F210" s="208"/>
    </row>
    <row r="211" spans="1:6" s="207" customFormat="1" ht="15" x14ac:dyDescent="0.25">
      <c r="A211" s="74">
        <v>208</v>
      </c>
      <c r="B211" s="74">
        <v>6</v>
      </c>
      <c r="C211" s="74" t="s">
        <v>748</v>
      </c>
      <c r="D211" s="74" t="s">
        <v>258</v>
      </c>
      <c r="E211" s="74" t="s">
        <v>775</v>
      </c>
      <c r="F211" s="208"/>
    </row>
    <row r="212" spans="1:6" s="207" customFormat="1" ht="15" x14ac:dyDescent="0.25">
      <c r="A212" s="74">
        <v>209</v>
      </c>
      <c r="B212" s="74">
        <v>7</v>
      </c>
      <c r="C212" s="74" t="s">
        <v>748</v>
      </c>
      <c r="D212" s="74" t="s">
        <v>258</v>
      </c>
      <c r="E212" s="74" t="s">
        <v>2334</v>
      </c>
      <c r="F212" s="208"/>
    </row>
    <row r="213" spans="1:6" s="207" customFormat="1" ht="30" x14ac:dyDescent="0.25">
      <c r="A213" s="74">
        <v>210</v>
      </c>
      <c r="B213" s="74">
        <v>7</v>
      </c>
      <c r="C213" s="74" t="s">
        <v>748</v>
      </c>
      <c r="D213" s="74" t="s">
        <v>258</v>
      </c>
      <c r="E213" s="74" t="s">
        <v>2335</v>
      </c>
      <c r="F213" s="208"/>
    </row>
    <row r="214" spans="1:6" s="207" customFormat="1" ht="30" x14ac:dyDescent="0.25">
      <c r="A214" s="74">
        <v>211</v>
      </c>
      <c r="B214" s="74">
        <v>7</v>
      </c>
      <c r="C214" s="74" t="s">
        <v>748</v>
      </c>
      <c r="D214" s="74" t="s">
        <v>258</v>
      </c>
      <c r="E214" s="74" t="s">
        <v>2336</v>
      </c>
      <c r="F214" s="208"/>
    </row>
    <row r="215" spans="1:6" s="207" customFormat="1" ht="15" x14ac:dyDescent="0.25">
      <c r="A215" s="74">
        <v>212</v>
      </c>
      <c r="B215" s="74">
        <v>7</v>
      </c>
      <c r="C215" s="74" t="s">
        <v>748</v>
      </c>
      <c r="D215" s="74" t="s">
        <v>258</v>
      </c>
      <c r="E215" s="74" t="s">
        <v>1928</v>
      </c>
      <c r="F215" s="208"/>
    </row>
    <row r="216" spans="1:6" s="207" customFormat="1" ht="30" x14ac:dyDescent="0.25">
      <c r="A216" s="74">
        <v>213</v>
      </c>
      <c r="B216" s="74">
        <v>8</v>
      </c>
      <c r="C216" s="74" t="s">
        <v>748</v>
      </c>
      <c r="D216" s="74" t="s">
        <v>258</v>
      </c>
      <c r="E216" s="74" t="s">
        <v>2337</v>
      </c>
      <c r="F216" s="208"/>
    </row>
    <row r="217" spans="1:6" s="207" customFormat="1" ht="15" x14ac:dyDescent="0.25">
      <c r="A217" s="74">
        <v>214</v>
      </c>
      <c r="B217" s="74">
        <v>8</v>
      </c>
      <c r="C217" s="74" t="s">
        <v>748</v>
      </c>
      <c r="D217" s="74" t="s">
        <v>258</v>
      </c>
      <c r="E217" s="74" t="s">
        <v>2338</v>
      </c>
      <c r="F217" s="208"/>
    </row>
    <row r="218" spans="1:6" s="207" customFormat="1" ht="30" x14ac:dyDescent="0.25">
      <c r="A218" s="74">
        <v>215</v>
      </c>
      <c r="B218" s="74">
        <v>8</v>
      </c>
      <c r="C218" s="74" t="s">
        <v>748</v>
      </c>
      <c r="D218" s="74" t="s">
        <v>258</v>
      </c>
      <c r="E218" s="74" t="s">
        <v>1412</v>
      </c>
      <c r="F218" s="208"/>
    </row>
    <row r="219" spans="1:6" s="207" customFormat="1" ht="15" x14ac:dyDescent="0.25">
      <c r="A219" s="74">
        <v>216</v>
      </c>
      <c r="B219" s="74">
        <v>8</v>
      </c>
      <c r="C219" s="74" t="s">
        <v>748</v>
      </c>
      <c r="D219" s="74" t="s">
        <v>258</v>
      </c>
      <c r="E219" s="74" t="s">
        <v>2339</v>
      </c>
      <c r="F219" s="208"/>
    </row>
    <row r="220" spans="1:6" s="207" customFormat="1" ht="15" x14ac:dyDescent="0.25">
      <c r="A220" s="74">
        <v>217</v>
      </c>
      <c r="B220" s="74">
        <v>9</v>
      </c>
      <c r="C220" s="74" t="s">
        <v>748</v>
      </c>
      <c r="D220" s="74" t="s">
        <v>258</v>
      </c>
      <c r="E220" s="74" t="s">
        <v>2340</v>
      </c>
      <c r="F220" s="208"/>
    </row>
    <row r="221" spans="1:6" s="207" customFormat="1" ht="30" x14ac:dyDescent="0.25">
      <c r="A221" s="74">
        <v>218</v>
      </c>
      <c r="B221" s="74">
        <v>9</v>
      </c>
      <c r="C221" s="74" t="s">
        <v>748</v>
      </c>
      <c r="D221" s="74" t="s">
        <v>258</v>
      </c>
      <c r="E221" s="74" t="s">
        <v>2337</v>
      </c>
      <c r="F221" s="208"/>
    </row>
    <row r="222" spans="1:6" s="207" customFormat="1" ht="30" x14ac:dyDescent="0.25">
      <c r="A222" s="74">
        <v>219</v>
      </c>
      <c r="B222" s="74">
        <v>9</v>
      </c>
      <c r="C222" s="74" t="s">
        <v>748</v>
      </c>
      <c r="D222" s="74" t="s">
        <v>258</v>
      </c>
      <c r="E222" s="74" t="s">
        <v>2341</v>
      </c>
      <c r="F222" s="208"/>
    </row>
    <row r="223" spans="1:6" s="207" customFormat="1" ht="15" x14ac:dyDescent="0.25">
      <c r="A223" s="74">
        <v>220</v>
      </c>
      <c r="B223" s="74">
        <v>10</v>
      </c>
      <c r="C223" s="74" t="s">
        <v>748</v>
      </c>
      <c r="D223" s="74" t="s">
        <v>258</v>
      </c>
      <c r="E223" s="74" t="s">
        <v>1413</v>
      </c>
      <c r="F223" s="208"/>
    </row>
    <row r="224" spans="1:6" s="207" customFormat="1" ht="15" x14ac:dyDescent="0.25">
      <c r="A224" s="74">
        <v>221</v>
      </c>
      <c r="B224" s="74">
        <v>10</v>
      </c>
      <c r="C224" s="74" t="s">
        <v>748</v>
      </c>
      <c r="D224" s="74" t="s">
        <v>258</v>
      </c>
      <c r="E224" s="74" t="s">
        <v>2339</v>
      </c>
      <c r="F224" s="208"/>
    </row>
    <row r="225" spans="1:6" s="207" customFormat="1" ht="15" x14ac:dyDescent="0.25">
      <c r="A225" s="74">
        <v>222</v>
      </c>
      <c r="B225" s="74">
        <v>1</v>
      </c>
      <c r="C225" s="74" t="s">
        <v>748</v>
      </c>
      <c r="D225" s="74" t="s">
        <v>271</v>
      </c>
      <c r="E225" s="74" t="s">
        <v>1733</v>
      </c>
      <c r="F225" s="208"/>
    </row>
    <row r="226" spans="1:6" s="207" customFormat="1" ht="15" x14ac:dyDescent="0.25">
      <c r="A226" s="74">
        <v>223</v>
      </c>
      <c r="B226" s="74">
        <v>2</v>
      </c>
      <c r="C226" s="74" t="s">
        <v>748</v>
      </c>
      <c r="D226" s="74" t="s">
        <v>271</v>
      </c>
      <c r="E226" s="74" t="s">
        <v>1734</v>
      </c>
      <c r="F226" s="208"/>
    </row>
    <row r="227" spans="1:6" s="207" customFormat="1" ht="15" x14ac:dyDescent="0.25">
      <c r="A227" s="74">
        <v>224</v>
      </c>
      <c r="B227" s="74">
        <v>3</v>
      </c>
      <c r="C227" s="74" t="s">
        <v>748</v>
      </c>
      <c r="D227" s="74" t="s">
        <v>271</v>
      </c>
      <c r="E227" s="74" t="s">
        <v>1735</v>
      </c>
      <c r="F227" s="208"/>
    </row>
    <row r="228" spans="1:6" s="207" customFormat="1" ht="30" x14ac:dyDescent="0.25">
      <c r="A228" s="74">
        <v>225</v>
      </c>
      <c r="B228" s="74">
        <v>4</v>
      </c>
      <c r="C228" s="74" t="s">
        <v>748</v>
      </c>
      <c r="D228" s="74" t="s">
        <v>271</v>
      </c>
      <c r="E228" s="74" t="s">
        <v>1736</v>
      </c>
      <c r="F228" s="208"/>
    </row>
    <row r="229" spans="1:6" s="207" customFormat="1" ht="15" x14ac:dyDescent="0.25">
      <c r="A229" s="74">
        <v>226</v>
      </c>
      <c r="B229" s="74">
        <v>4</v>
      </c>
      <c r="C229" s="74" t="s">
        <v>748</v>
      </c>
      <c r="D229" s="74" t="s">
        <v>271</v>
      </c>
      <c r="E229" s="74" t="s">
        <v>1737</v>
      </c>
      <c r="F229" s="208"/>
    </row>
    <row r="230" spans="1:6" s="207" customFormat="1" ht="30" x14ac:dyDescent="0.25">
      <c r="A230" s="74">
        <v>227</v>
      </c>
      <c r="B230" s="74">
        <v>5</v>
      </c>
      <c r="C230" s="74" t="s">
        <v>748</v>
      </c>
      <c r="D230" s="74" t="s">
        <v>271</v>
      </c>
      <c r="E230" s="74" t="s">
        <v>2342</v>
      </c>
      <c r="F230" s="208"/>
    </row>
    <row r="231" spans="1:6" s="207" customFormat="1" ht="30" x14ac:dyDescent="0.25">
      <c r="A231" s="74">
        <v>228</v>
      </c>
      <c r="B231" s="74">
        <v>5</v>
      </c>
      <c r="C231" s="74" t="s">
        <v>748</v>
      </c>
      <c r="D231" s="74" t="s">
        <v>271</v>
      </c>
      <c r="E231" s="74" t="s">
        <v>2343</v>
      </c>
      <c r="F231" s="208"/>
    </row>
    <row r="232" spans="1:6" s="207" customFormat="1" ht="15" x14ac:dyDescent="0.25">
      <c r="A232" s="74">
        <v>229</v>
      </c>
      <c r="B232" s="74">
        <v>5</v>
      </c>
      <c r="C232" s="74" t="s">
        <v>748</v>
      </c>
      <c r="D232" s="74" t="s">
        <v>271</v>
      </c>
      <c r="E232" s="74" t="s">
        <v>2344</v>
      </c>
      <c r="F232" s="208"/>
    </row>
    <row r="233" spans="1:6" s="207" customFormat="1" ht="30" x14ac:dyDescent="0.25">
      <c r="A233" s="74">
        <v>230</v>
      </c>
      <c r="B233" s="74">
        <v>5</v>
      </c>
      <c r="C233" s="74" t="s">
        <v>748</v>
      </c>
      <c r="D233" s="74" t="s">
        <v>271</v>
      </c>
      <c r="E233" s="74" t="s">
        <v>2345</v>
      </c>
      <c r="F233" s="208"/>
    </row>
    <row r="234" spans="1:6" s="207" customFormat="1" ht="30" x14ac:dyDescent="0.25">
      <c r="A234" s="74">
        <v>231</v>
      </c>
      <c r="B234" s="74">
        <v>6</v>
      </c>
      <c r="C234" s="74" t="s">
        <v>748</v>
      </c>
      <c r="D234" s="74" t="s">
        <v>271</v>
      </c>
      <c r="E234" s="74" t="s">
        <v>2470</v>
      </c>
      <c r="F234" s="208"/>
    </row>
    <row r="235" spans="1:6" s="207" customFormat="1" ht="15" x14ac:dyDescent="0.25">
      <c r="A235" s="74">
        <v>232</v>
      </c>
      <c r="B235" s="74">
        <v>6</v>
      </c>
      <c r="C235" s="74" t="s">
        <v>748</v>
      </c>
      <c r="D235" s="74" t="s">
        <v>271</v>
      </c>
      <c r="E235" s="74" t="s">
        <v>1414</v>
      </c>
      <c r="F235" s="208"/>
    </row>
    <row r="236" spans="1:6" s="207" customFormat="1" ht="45" x14ac:dyDescent="0.25">
      <c r="A236" s="74">
        <v>233</v>
      </c>
      <c r="B236" s="74">
        <v>6</v>
      </c>
      <c r="C236" s="74" t="s">
        <v>748</v>
      </c>
      <c r="D236" s="74" t="s">
        <v>271</v>
      </c>
      <c r="E236" s="74" t="s">
        <v>1415</v>
      </c>
      <c r="F236" s="208"/>
    </row>
    <row r="237" spans="1:6" s="207" customFormat="1" ht="30" x14ac:dyDescent="0.25">
      <c r="A237" s="74">
        <v>234</v>
      </c>
      <c r="B237" s="74">
        <v>6</v>
      </c>
      <c r="C237" s="74" t="s">
        <v>748</v>
      </c>
      <c r="D237" s="74" t="s">
        <v>271</v>
      </c>
      <c r="E237" s="74" t="s">
        <v>2346</v>
      </c>
      <c r="F237" s="208"/>
    </row>
    <row r="238" spans="1:6" s="207" customFormat="1" ht="30" x14ac:dyDescent="0.25">
      <c r="A238" s="74">
        <v>235</v>
      </c>
      <c r="B238" s="74">
        <v>6</v>
      </c>
      <c r="C238" s="74" t="s">
        <v>748</v>
      </c>
      <c r="D238" s="74" t="s">
        <v>271</v>
      </c>
      <c r="E238" s="74" t="s">
        <v>2347</v>
      </c>
      <c r="F238" s="208"/>
    </row>
    <row r="239" spans="1:6" s="207" customFormat="1" ht="15" x14ac:dyDescent="0.25">
      <c r="A239" s="74">
        <v>236</v>
      </c>
      <c r="B239" s="74">
        <v>6</v>
      </c>
      <c r="C239" s="74" t="s">
        <v>748</v>
      </c>
      <c r="D239" s="74" t="s">
        <v>271</v>
      </c>
      <c r="E239" s="74" t="s">
        <v>2348</v>
      </c>
      <c r="F239" s="208"/>
    </row>
    <row r="240" spans="1:6" s="207" customFormat="1" ht="30" x14ac:dyDescent="0.25">
      <c r="A240" s="74">
        <v>237</v>
      </c>
      <c r="B240" s="74">
        <v>7</v>
      </c>
      <c r="C240" s="74" t="s">
        <v>748</v>
      </c>
      <c r="D240" s="74" t="s">
        <v>271</v>
      </c>
      <c r="E240" s="74" t="s">
        <v>791</v>
      </c>
      <c r="F240" s="208"/>
    </row>
    <row r="241" spans="1:6" s="207" customFormat="1" ht="30" x14ac:dyDescent="0.25">
      <c r="A241" s="74">
        <v>238</v>
      </c>
      <c r="B241" s="74">
        <v>7</v>
      </c>
      <c r="C241" s="74" t="s">
        <v>748</v>
      </c>
      <c r="D241" s="74" t="s">
        <v>271</v>
      </c>
      <c r="E241" s="74" t="s">
        <v>1416</v>
      </c>
      <c r="F241" s="208"/>
    </row>
    <row r="242" spans="1:6" s="207" customFormat="1" ht="30" x14ac:dyDescent="0.25">
      <c r="A242" s="74">
        <v>239</v>
      </c>
      <c r="B242" s="74">
        <v>7</v>
      </c>
      <c r="C242" s="74" t="s">
        <v>748</v>
      </c>
      <c r="D242" s="74" t="s">
        <v>271</v>
      </c>
      <c r="E242" s="74" t="s">
        <v>2349</v>
      </c>
      <c r="F242" s="208"/>
    </row>
    <row r="243" spans="1:6" s="207" customFormat="1" ht="30" x14ac:dyDescent="0.25">
      <c r="A243" s="74">
        <v>240</v>
      </c>
      <c r="B243" s="74">
        <v>7</v>
      </c>
      <c r="C243" s="74" t="s">
        <v>748</v>
      </c>
      <c r="D243" s="74" t="s">
        <v>271</v>
      </c>
      <c r="E243" s="74" t="s">
        <v>2471</v>
      </c>
      <c r="F243" s="208"/>
    </row>
    <row r="244" spans="1:6" s="207" customFormat="1" ht="15" x14ac:dyDescent="0.25">
      <c r="A244" s="74">
        <v>241</v>
      </c>
      <c r="B244" s="74">
        <v>7</v>
      </c>
      <c r="C244" s="74" t="s">
        <v>748</v>
      </c>
      <c r="D244" s="74" t="s">
        <v>271</v>
      </c>
      <c r="E244" s="74" t="s">
        <v>2350</v>
      </c>
      <c r="F244" s="208"/>
    </row>
    <row r="245" spans="1:6" s="207" customFormat="1" ht="15" x14ac:dyDescent="0.25">
      <c r="A245" s="74">
        <v>242</v>
      </c>
      <c r="B245" s="74">
        <v>7</v>
      </c>
      <c r="C245" s="74" t="s">
        <v>748</v>
      </c>
      <c r="D245" s="74" t="s">
        <v>271</v>
      </c>
      <c r="E245" s="74" t="s">
        <v>2351</v>
      </c>
      <c r="F245" s="208"/>
    </row>
    <row r="246" spans="1:6" s="207" customFormat="1" ht="15" x14ac:dyDescent="0.25">
      <c r="A246" s="74">
        <v>243</v>
      </c>
      <c r="B246" s="74">
        <v>7</v>
      </c>
      <c r="C246" s="74" t="s">
        <v>748</v>
      </c>
      <c r="D246" s="74" t="s">
        <v>271</v>
      </c>
      <c r="E246" s="74" t="s">
        <v>2352</v>
      </c>
      <c r="F246" s="208"/>
    </row>
    <row r="247" spans="1:6" s="207" customFormat="1" ht="60" x14ac:dyDescent="0.25">
      <c r="A247" s="74">
        <v>244</v>
      </c>
      <c r="B247" s="74">
        <v>8</v>
      </c>
      <c r="C247" s="74" t="s">
        <v>748</v>
      </c>
      <c r="D247" s="74" t="s">
        <v>271</v>
      </c>
      <c r="E247" s="74" t="s">
        <v>1417</v>
      </c>
      <c r="F247" s="208"/>
    </row>
    <row r="248" spans="1:6" s="207" customFormat="1" ht="30" x14ac:dyDescent="0.25">
      <c r="A248" s="74">
        <v>245</v>
      </c>
      <c r="B248" s="74">
        <v>8</v>
      </c>
      <c r="C248" s="74" t="s">
        <v>748</v>
      </c>
      <c r="D248" s="74" t="s">
        <v>271</v>
      </c>
      <c r="E248" s="74" t="s">
        <v>2353</v>
      </c>
      <c r="F248" s="208"/>
    </row>
    <row r="249" spans="1:6" s="207" customFormat="1" ht="15" x14ac:dyDescent="0.25">
      <c r="A249" s="74">
        <v>246</v>
      </c>
      <c r="B249" s="74">
        <v>8</v>
      </c>
      <c r="C249" s="74" t="s">
        <v>748</v>
      </c>
      <c r="D249" s="74" t="s">
        <v>271</v>
      </c>
      <c r="E249" s="74" t="s">
        <v>2354</v>
      </c>
      <c r="F249" s="208"/>
    </row>
    <row r="250" spans="1:6" s="207" customFormat="1" ht="15" x14ac:dyDescent="0.25">
      <c r="A250" s="74">
        <v>247</v>
      </c>
      <c r="B250" s="74">
        <v>8</v>
      </c>
      <c r="C250" s="74" t="s">
        <v>748</v>
      </c>
      <c r="D250" s="74" t="s">
        <v>271</v>
      </c>
      <c r="E250" s="74" t="s">
        <v>1418</v>
      </c>
      <c r="F250" s="208"/>
    </row>
    <row r="251" spans="1:6" s="207" customFormat="1" ht="15" x14ac:dyDescent="0.25">
      <c r="A251" s="74">
        <v>248</v>
      </c>
      <c r="B251" s="74">
        <v>8</v>
      </c>
      <c r="C251" s="74" t="s">
        <v>748</v>
      </c>
      <c r="D251" s="74" t="s">
        <v>271</v>
      </c>
      <c r="E251" s="74" t="s">
        <v>1419</v>
      </c>
      <c r="F251" s="208"/>
    </row>
    <row r="252" spans="1:6" s="207" customFormat="1" ht="30" x14ac:dyDescent="0.25">
      <c r="A252" s="74">
        <v>249</v>
      </c>
      <c r="B252" s="74">
        <v>8</v>
      </c>
      <c r="C252" s="74" t="s">
        <v>748</v>
      </c>
      <c r="D252" s="74" t="s">
        <v>271</v>
      </c>
      <c r="E252" s="74" t="s">
        <v>1420</v>
      </c>
      <c r="F252" s="208"/>
    </row>
    <row r="253" spans="1:6" s="207" customFormat="1" ht="15" x14ac:dyDescent="0.25">
      <c r="A253" s="74">
        <v>250</v>
      </c>
      <c r="B253" s="74">
        <v>8</v>
      </c>
      <c r="C253" s="74" t="s">
        <v>748</v>
      </c>
      <c r="D253" s="74" t="s">
        <v>271</v>
      </c>
      <c r="E253" s="74" t="s">
        <v>1421</v>
      </c>
      <c r="F253" s="208"/>
    </row>
    <row r="254" spans="1:6" s="207" customFormat="1" ht="30" x14ac:dyDescent="0.25">
      <c r="A254" s="74">
        <v>251</v>
      </c>
      <c r="B254" s="74">
        <v>8</v>
      </c>
      <c r="C254" s="74" t="s">
        <v>748</v>
      </c>
      <c r="D254" s="74" t="s">
        <v>271</v>
      </c>
      <c r="E254" s="74" t="s">
        <v>2355</v>
      </c>
      <c r="F254" s="208"/>
    </row>
    <row r="255" spans="1:6" s="207" customFormat="1" ht="15" x14ac:dyDescent="0.25">
      <c r="A255" s="74">
        <v>252</v>
      </c>
      <c r="B255" s="74">
        <v>9</v>
      </c>
      <c r="C255" s="74" t="s">
        <v>748</v>
      </c>
      <c r="D255" s="74" t="s">
        <v>271</v>
      </c>
      <c r="E255" s="74" t="s">
        <v>1422</v>
      </c>
      <c r="F255" s="208"/>
    </row>
    <row r="256" spans="1:6" s="207" customFormat="1" ht="30" x14ac:dyDescent="0.25">
      <c r="A256" s="74">
        <v>253</v>
      </c>
      <c r="B256" s="74">
        <v>9</v>
      </c>
      <c r="C256" s="74" t="s">
        <v>748</v>
      </c>
      <c r="D256" s="74" t="s">
        <v>271</v>
      </c>
      <c r="E256" s="74" t="s">
        <v>1423</v>
      </c>
      <c r="F256" s="208"/>
    </row>
    <row r="257" spans="1:6" s="207" customFormat="1" ht="15" x14ac:dyDescent="0.25">
      <c r="A257" s="74">
        <v>254</v>
      </c>
      <c r="B257" s="74">
        <v>9</v>
      </c>
      <c r="C257" s="74" t="s">
        <v>748</v>
      </c>
      <c r="D257" s="74" t="s">
        <v>271</v>
      </c>
      <c r="E257" s="74" t="s">
        <v>1424</v>
      </c>
      <c r="F257" s="208"/>
    </row>
    <row r="258" spans="1:6" s="207" customFormat="1" ht="15" x14ac:dyDescent="0.25">
      <c r="A258" s="74">
        <v>255</v>
      </c>
      <c r="B258" s="74">
        <v>9</v>
      </c>
      <c r="C258" s="74" t="s">
        <v>748</v>
      </c>
      <c r="D258" s="74" t="s">
        <v>271</v>
      </c>
      <c r="E258" s="74" t="s">
        <v>1425</v>
      </c>
      <c r="F258" s="208"/>
    </row>
    <row r="259" spans="1:6" s="207" customFormat="1" ht="30" x14ac:dyDescent="0.25">
      <c r="A259" s="74">
        <v>256</v>
      </c>
      <c r="B259" s="74">
        <v>9</v>
      </c>
      <c r="C259" s="74" t="s">
        <v>748</v>
      </c>
      <c r="D259" s="74" t="s">
        <v>271</v>
      </c>
      <c r="E259" s="74" t="s">
        <v>1426</v>
      </c>
      <c r="F259" s="208"/>
    </row>
    <row r="260" spans="1:6" s="207" customFormat="1" ht="15" x14ac:dyDescent="0.25">
      <c r="A260" s="74">
        <v>257</v>
      </c>
      <c r="B260" s="74">
        <v>10</v>
      </c>
      <c r="C260" s="74" t="s">
        <v>748</v>
      </c>
      <c r="D260" s="74" t="s">
        <v>271</v>
      </c>
      <c r="E260" s="74" t="s">
        <v>2356</v>
      </c>
      <c r="F260" s="208"/>
    </row>
    <row r="261" spans="1:6" s="207" customFormat="1" ht="15" x14ac:dyDescent="0.25">
      <c r="A261" s="74">
        <v>258</v>
      </c>
      <c r="B261" s="74">
        <v>10</v>
      </c>
      <c r="C261" s="74" t="s">
        <v>748</v>
      </c>
      <c r="D261" s="74" t="s">
        <v>271</v>
      </c>
      <c r="E261" s="74" t="s">
        <v>2357</v>
      </c>
      <c r="F261" s="208"/>
    </row>
    <row r="262" spans="1:6" s="207" customFormat="1" ht="15" x14ac:dyDescent="0.25">
      <c r="A262" s="74">
        <v>259</v>
      </c>
      <c r="B262" s="74">
        <v>1</v>
      </c>
      <c r="C262" s="74" t="s">
        <v>748</v>
      </c>
      <c r="D262" s="74" t="s">
        <v>803</v>
      </c>
      <c r="E262" s="74" t="s">
        <v>2472</v>
      </c>
      <c r="F262" s="208"/>
    </row>
    <row r="263" spans="1:6" s="207" customFormat="1" ht="30" x14ac:dyDescent="0.25">
      <c r="A263" s="74">
        <v>260</v>
      </c>
      <c r="B263" s="74">
        <v>2</v>
      </c>
      <c r="C263" s="74" t="s">
        <v>748</v>
      </c>
      <c r="D263" s="74" t="s">
        <v>803</v>
      </c>
      <c r="E263" s="74" t="s">
        <v>804</v>
      </c>
      <c r="F263" s="208"/>
    </row>
    <row r="264" spans="1:6" s="207" customFormat="1" ht="30" x14ac:dyDescent="0.25">
      <c r="A264" s="74">
        <v>261</v>
      </c>
      <c r="B264" s="74">
        <v>2</v>
      </c>
      <c r="C264" s="74" t="s">
        <v>748</v>
      </c>
      <c r="D264" s="74" t="s">
        <v>803</v>
      </c>
      <c r="E264" s="74" t="s">
        <v>2473</v>
      </c>
      <c r="F264" s="208"/>
    </row>
    <row r="265" spans="1:6" s="207" customFormat="1" ht="15" x14ac:dyDescent="0.25">
      <c r="A265" s="74">
        <v>262</v>
      </c>
      <c r="B265" s="74">
        <v>3</v>
      </c>
      <c r="C265" s="74" t="s">
        <v>748</v>
      </c>
      <c r="D265" s="74" t="s">
        <v>803</v>
      </c>
      <c r="E265" s="74" t="s">
        <v>1738</v>
      </c>
      <c r="F265" s="208"/>
    </row>
    <row r="266" spans="1:6" s="207" customFormat="1" ht="15" x14ac:dyDescent="0.25">
      <c r="A266" s="74">
        <v>263</v>
      </c>
      <c r="B266" s="74">
        <v>3</v>
      </c>
      <c r="C266" s="74" t="s">
        <v>748</v>
      </c>
      <c r="D266" s="74" t="s">
        <v>803</v>
      </c>
      <c r="E266" s="74" t="s">
        <v>1739</v>
      </c>
      <c r="F266" s="208"/>
    </row>
    <row r="267" spans="1:6" s="207" customFormat="1" ht="15" x14ac:dyDescent="0.25">
      <c r="A267" s="74">
        <v>264</v>
      </c>
      <c r="B267" s="74">
        <v>3</v>
      </c>
      <c r="C267" s="74" t="s">
        <v>748</v>
      </c>
      <c r="D267" s="74" t="s">
        <v>803</v>
      </c>
      <c r="E267" s="74" t="s">
        <v>1740</v>
      </c>
      <c r="F267" s="208"/>
    </row>
    <row r="268" spans="1:6" s="207" customFormat="1" ht="15" x14ac:dyDescent="0.25">
      <c r="A268" s="74">
        <v>265</v>
      </c>
      <c r="B268" s="74">
        <v>3</v>
      </c>
      <c r="C268" s="74" t="s">
        <v>748</v>
      </c>
      <c r="D268" s="74" t="s">
        <v>803</v>
      </c>
      <c r="E268" s="74" t="s">
        <v>806</v>
      </c>
      <c r="F268" s="208"/>
    </row>
    <row r="269" spans="1:6" s="207" customFormat="1" ht="30" x14ac:dyDescent="0.25">
      <c r="A269" s="74">
        <v>266</v>
      </c>
      <c r="B269" s="74">
        <v>4</v>
      </c>
      <c r="C269" s="74" t="s">
        <v>748</v>
      </c>
      <c r="D269" s="74" t="s">
        <v>803</v>
      </c>
      <c r="E269" s="74" t="s">
        <v>1427</v>
      </c>
      <c r="F269" s="208"/>
    </row>
    <row r="270" spans="1:6" s="207" customFormat="1" ht="15" x14ac:dyDescent="0.25">
      <c r="A270" s="74">
        <v>267</v>
      </c>
      <c r="B270" s="74">
        <v>4</v>
      </c>
      <c r="C270" s="74" t="s">
        <v>748</v>
      </c>
      <c r="D270" s="74" t="s">
        <v>803</v>
      </c>
      <c r="E270" s="74" t="s">
        <v>807</v>
      </c>
      <c r="F270" s="208"/>
    </row>
    <row r="271" spans="1:6" s="207" customFormat="1" ht="30" x14ac:dyDescent="0.25">
      <c r="A271" s="74">
        <v>268</v>
      </c>
      <c r="B271" s="74">
        <v>4</v>
      </c>
      <c r="C271" s="74" t="s">
        <v>748</v>
      </c>
      <c r="D271" s="74" t="s">
        <v>803</v>
      </c>
      <c r="E271" s="74" t="s">
        <v>1428</v>
      </c>
      <c r="F271" s="208"/>
    </row>
    <row r="272" spans="1:6" s="207" customFormat="1" ht="15" x14ac:dyDescent="0.25">
      <c r="A272" s="74">
        <v>269</v>
      </c>
      <c r="B272" s="74">
        <v>4</v>
      </c>
      <c r="C272" s="74" t="s">
        <v>748</v>
      </c>
      <c r="D272" s="74" t="s">
        <v>803</v>
      </c>
      <c r="E272" s="74" t="s">
        <v>2474</v>
      </c>
      <c r="F272" s="208"/>
    </row>
    <row r="273" spans="1:6" s="207" customFormat="1" ht="15" x14ac:dyDescent="0.25">
      <c r="A273" s="74">
        <v>270</v>
      </c>
      <c r="B273" s="74">
        <v>4</v>
      </c>
      <c r="C273" s="74" t="s">
        <v>748</v>
      </c>
      <c r="D273" s="74" t="s">
        <v>803</v>
      </c>
      <c r="E273" s="74" t="s">
        <v>1429</v>
      </c>
      <c r="F273" s="208"/>
    </row>
    <row r="274" spans="1:6" s="207" customFormat="1" ht="30" x14ac:dyDescent="0.25">
      <c r="A274" s="74">
        <v>271</v>
      </c>
      <c r="B274" s="74">
        <v>5</v>
      </c>
      <c r="C274" s="74" t="s">
        <v>748</v>
      </c>
      <c r="D274" s="74" t="s">
        <v>803</v>
      </c>
      <c r="E274" s="74" t="s">
        <v>2475</v>
      </c>
      <c r="F274" s="208"/>
    </row>
    <row r="275" spans="1:6" s="207" customFormat="1" ht="30" x14ac:dyDescent="0.25">
      <c r="A275" s="74">
        <v>272</v>
      </c>
      <c r="B275" s="74">
        <v>5</v>
      </c>
      <c r="C275" s="74" t="s">
        <v>748</v>
      </c>
      <c r="D275" s="74" t="s">
        <v>803</v>
      </c>
      <c r="E275" s="74" t="s">
        <v>2476</v>
      </c>
      <c r="F275" s="208"/>
    </row>
    <row r="276" spans="1:6" s="207" customFormat="1" ht="30" x14ac:dyDescent="0.25">
      <c r="A276" s="74">
        <v>273</v>
      </c>
      <c r="B276" s="74">
        <v>5</v>
      </c>
      <c r="C276" s="74" t="s">
        <v>748</v>
      </c>
      <c r="D276" s="74" t="s">
        <v>803</v>
      </c>
      <c r="E276" s="74" t="s">
        <v>2358</v>
      </c>
      <c r="F276" s="208"/>
    </row>
    <row r="277" spans="1:6" s="207" customFormat="1" ht="15" x14ac:dyDescent="0.25">
      <c r="A277" s="74">
        <v>274</v>
      </c>
      <c r="B277" s="74">
        <v>5</v>
      </c>
      <c r="C277" s="74" t="s">
        <v>748</v>
      </c>
      <c r="D277" s="74" t="s">
        <v>803</v>
      </c>
      <c r="E277" s="74" t="s">
        <v>812</v>
      </c>
      <c r="F277" s="208"/>
    </row>
    <row r="278" spans="1:6" s="207" customFormat="1" ht="15" x14ac:dyDescent="0.25">
      <c r="A278" s="74">
        <v>275</v>
      </c>
      <c r="B278" s="74">
        <v>6</v>
      </c>
      <c r="C278" s="74" t="s">
        <v>748</v>
      </c>
      <c r="D278" s="74" t="s">
        <v>803</v>
      </c>
      <c r="E278" s="74" t="s">
        <v>1430</v>
      </c>
      <c r="F278" s="208"/>
    </row>
    <row r="279" spans="1:6" s="207" customFormat="1" ht="30" x14ac:dyDescent="0.25">
      <c r="A279" s="74">
        <v>276</v>
      </c>
      <c r="B279" s="74">
        <v>6</v>
      </c>
      <c r="C279" s="74" t="s">
        <v>748</v>
      </c>
      <c r="D279" s="74" t="s">
        <v>803</v>
      </c>
      <c r="E279" s="74" t="s">
        <v>2477</v>
      </c>
      <c r="F279" s="208"/>
    </row>
    <row r="280" spans="1:6" s="207" customFormat="1" ht="30" x14ac:dyDescent="0.25">
      <c r="A280" s="74">
        <v>277</v>
      </c>
      <c r="B280" s="74">
        <v>6</v>
      </c>
      <c r="C280" s="74" t="s">
        <v>748</v>
      </c>
      <c r="D280" s="74" t="s">
        <v>803</v>
      </c>
      <c r="E280" s="74" t="s">
        <v>1431</v>
      </c>
      <c r="F280" s="208"/>
    </row>
    <row r="281" spans="1:6" s="207" customFormat="1" ht="30" x14ac:dyDescent="0.25">
      <c r="A281" s="74">
        <v>278</v>
      </c>
      <c r="B281" s="74">
        <v>6</v>
      </c>
      <c r="C281" s="74" t="s">
        <v>748</v>
      </c>
      <c r="D281" s="74" t="s">
        <v>803</v>
      </c>
      <c r="E281" s="74" t="s">
        <v>1432</v>
      </c>
      <c r="F281" s="208"/>
    </row>
    <row r="282" spans="1:6" s="207" customFormat="1" ht="30" x14ac:dyDescent="0.25">
      <c r="A282" s="74">
        <v>279</v>
      </c>
      <c r="B282" s="74">
        <v>7</v>
      </c>
      <c r="C282" s="74" t="s">
        <v>748</v>
      </c>
      <c r="D282" s="74" t="s">
        <v>803</v>
      </c>
      <c r="E282" s="74" t="s">
        <v>2099</v>
      </c>
      <c r="F282" s="208"/>
    </row>
    <row r="283" spans="1:6" s="207" customFormat="1" ht="30" x14ac:dyDescent="0.25">
      <c r="A283" s="74">
        <v>280</v>
      </c>
      <c r="B283" s="74">
        <v>7</v>
      </c>
      <c r="C283" s="74" t="s">
        <v>748</v>
      </c>
      <c r="D283" s="74" t="s">
        <v>803</v>
      </c>
      <c r="E283" s="74" t="s">
        <v>2359</v>
      </c>
      <c r="F283" s="208"/>
    </row>
    <row r="284" spans="1:6" s="207" customFormat="1" ht="30" x14ac:dyDescent="0.25">
      <c r="A284" s="74">
        <v>281</v>
      </c>
      <c r="B284" s="74">
        <v>7</v>
      </c>
      <c r="C284" s="74" t="s">
        <v>748</v>
      </c>
      <c r="D284" s="74" t="s">
        <v>803</v>
      </c>
      <c r="E284" s="74" t="s">
        <v>1433</v>
      </c>
      <c r="F284" s="208"/>
    </row>
    <row r="285" spans="1:6" s="207" customFormat="1" ht="15" x14ac:dyDescent="0.25">
      <c r="A285" s="74">
        <v>282</v>
      </c>
      <c r="B285" s="74">
        <v>7</v>
      </c>
      <c r="C285" s="74" t="s">
        <v>748</v>
      </c>
      <c r="D285" s="74" t="s">
        <v>803</v>
      </c>
      <c r="E285" s="74" t="s">
        <v>1434</v>
      </c>
      <c r="F285" s="208"/>
    </row>
    <row r="286" spans="1:6" s="207" customFormat="1" ht="15" x14ac:dyDescent="0.25">
      <c r="A286" s="74">
        <v>283</v>
      </c>
      <c r="B286" s="74">
        <v>8</v>
      </c>
      <c r="C286" s="74" t="s">
        <v>748</v>
      </c>
      <c r="D286" s="74" t="s">
        <v>803</v>
      </c>
      <c r="E286" s="74" t="s">
        <v>1435</v>
      </c>
      <c r="F286" s="208"/>
    </row>
    <row r="287" spans="1:6" s="207" customFormat="1" ht="30" x14ac:dyDescent="0.25">
      <c r="A287" s="74">
        <v>284</v>
      </c>
      <c r="B287" s="74">
        <v>8</v>
      </c>
      <c r="C287" s="74" t="s">
        <v>748</v>
      </c>
      <c r="D287" s="74" t="s">
        <v>803</v>
      </c>
      <c r="E287" s="74" t="s">
        <v>2478</v>
      </c>
      <c r="F287" s="208"/>
    </row>
    <row r="288" spans="1:6" s="207" customFormat="1" ht="30" x14ac:dyDescent="0.25">
      <c r="A288" s="74">
        <v>285</v>
      </c>
      <c r="B288" s="74">
        <v>8</v>
      </c>
      <c r="C288" s="74" t="s">
        <v>748</v>
      </c>
      <c r="D288" s="74" t="s">
        <v>803</v>
      </c>
      <c r="E288" s="74" t="s">
        <v>817</v>
      </c>
      <c r="F288" s="208"/>
    </row>
    <row r="289" spans="1:6" s="207" customFormat="1" ht="15" x14ac:dyDescent="0.25">
      <c r="A289" s="74">
        <v>286</v>
      </c>
      <c r="B289" s="74">
        <v>8</v>
      </c>
      <c r="C289" s="74" t="s">
        <v>748</v>
      </c>
      <c r="D289" s="74" t="s">
        <v>803</v>
      </c>
      <c r="E289" s="74" t="s">
        <v>2360</v>
      </c>
      <c r="F289" s="208"/>
    </row>
    <row r="290" spans="1:6" s="207" customFormat="1" ht="15" x14ac:dyDescent="0.25">
      <c r="A290" s="74">
        <v>287</v>
      </c>
      <c r="B290" s="74">
        <v>8</v>
      </c>
      <c r="C290" s="74" t="s">
        <v>748</v>
      </c>
      <c r="D290" s="74" t="s">
        <v>803</v>
      </c>
      <c r="E290" s="74" t="s">
        <v>1436</v>
      </c>
      <c r="F290" s="208"/>
    </row>
    <row r="291" spans="1:6" s="207" customFormat="1" ht="15" x14ac:dyDescent="0.25">
      <c r="A291" s="74">
        <v>288</v>
      </c>
      <c r="B291" s="74">
        <v>8</v>
      </c>
      <c r="C291" s="74" t="s">
        <v>748</v>
      </c>
      <c r="D291" s="74" t="s">
        <v>803</v>
      </c>
      <c r="E291" s="74" t="s">
        <v>1437</v>
      </c>
      <c r="F291" s="208"/>
    </row>
    <row r="292" spans="1:6" s="207" customFormat="1" ht="15" x14ac:dyDescent="0.25">
      <c r="A292" s="74">
        <v>289</v>
      </c>
      <c r="B292" s="74">
        <v>8</v>
      </c>
      <c r="C292" s="74" t="s">
        <v>748</v>
      </c>
      <c r="D292" s="74" t="s">
        <v>803</v>
      </c>
      <c r="E292" s="74" t="s">
        <v>1438</v>
      </c>
      <c r="F292" s="208"/>
    </row>
    <row r="293" spans="1:6" s="207" customFormat="1" ht="15" x14ac:dyDescent="0.25">
      <c r="A293" s="74">
        <v>290</v>
      </c>
      <c r="B293" s="74">
        <v>9</v>
      </c>
      <c r="C293" s="74" t="s">
        <v>748</v>
      </c>
      <c r="D293" s="74" t="s">
        <v>803</v>
      </c>
      <c r="E293" s="74" t="s">
        <v>1439</v>
      </c>
      <c r="F293" s="208"/>
    </row>
    <row r="294" spans="1:6" s="207" customFormat="1" ht="30" x14ac:dyDescent="0.25">
      <c r="A294" s="74">
        <v>291</v>
      </c>
      <c r="B294" s="74">
        <v>9</v>
      </c>
      <c r="C294" s="74" t="s">
        <v>748</v>
      </c>
      <c r="D294" s="74" t="s">
        <v>803</v>
      </c>
      <c r="E294" s="74" t="s">
        <v>2479</v>
      </c>
      <c r="F294" s="208"/>
    </row>
    <row r="295" spans="1:6" s="207" customFormat="1" ht="30" x14ac:dyDescent="0.25">
      <c r="A295" s="74">
        <v>292</v>
      </c>
      <c r="B295" s="74">
        <v>9</v>
      </c>
      <c r="C295" s="74" t="s">
        <v>748</v>
      </c>
      <c r="D295" s="74" t="s">
        <v>803</v>
      </c>
      <c r="E295" s="74" t="s">
        <v>2361</v>
      </c>
      <c r="F295" s="208"/>
    </row>
    <row r="296" spans="1:6" s="207" customFormat="1" ht="30" x14ac:dyDescent="0.25">
      <c r="A296" s="74">
        <v>293</v>
      </c>
      <c r="B296" s="74">
        <v>9</v>
      </c>
      <c r="C296" s="74" t="s">
        <v>748</v>
      </c>
      <c r="D296" s="74" t="s">
        <v>803</v>
      </c>
      <c r="E296" s="74" t="s">
        <v>2362</v>
      </c>
      <c r="F296" s="208"/>
    </row>
    <row r="297" spans="1:6" s="207" customFormat="1" ht="15" x14ac:dyDescent="0.25">
      <c r="A297" s="74">
        <v>294</v>
      </c>
      <c r="B297" s="74">
        <v>10</v>
      </c>
      <c r="C297" s="74" t="s">
        <v>748</v>
      </c>
      <c r="D297" s="74" t="s">
        <v>803</v>
      </c>
      <c r="E297" s="74" t="s">
        <v>2480</v>
      </c>
      <c r="F297" s="208"/>
    </row>
    <row r="298" spans="1:6" s="207" customFormat="1" ht="30" x14ac:dyDescent="0.25">
      <c r="A298" s="74">
        <v>295</v>
      </c>
      <c r="B298" s="74">
        <v>10</v>
      </c>
      <c r="C298" s="74" t="s">
        <v>748</v>
      </c>
      <c r="D298" s="74" t="s">
        <v>803</v>
      </c>
      <c r="E298" s="74" t="s">
        <v>2481</v>
      </c>
      <c r="F298" s="208"/>
    </row>
    <row r="299" spans="1:6" s="207" customFormat="1" ht="30" x14ac:dyDescent="0.25">
      <c r="A299" s="74">
        <v>296</v>
      </c>
      <c r="B299" s="74">
        <v>10</v>
      </c>
      <c r="C299" s="74" t="s">
        <v>748</v>
      </c>
      <c r="D299" s="74" t="s">
        <v>803</v>
      </c>
      <c r="E299" s="74" t="s">
        <v>2482</v>
      </c>
      <c r="F299" s="208"/>
    </row>
    <row r="300" spans="1:6" s="207" customFormat="1" ht="30" x14ac:dyDescent="0.25">
      <c r="A300" s="74">
        <v>297</v>
      </c>
      <c r="B300" s="74">
        <v>1</v>
      </c>
      <c r="C300" s="74" t="s">
        <v>824</v>
      </c>
      <c r="D300" s="74" t="s">
        <v>825</v>
      </c>
      <c r="E300" s="74" t="s">
        <v>1741</v>
      </c>
      <c r="F300" s="208"/>
    </row>
    <row r="301" spans="1:6" s="207" customFormat="1" ht="15" x14ac:dyDescent="0.25">
      <c r="A301" s="74">
        <v>298</v>
      </c>
      <c r="B301" s="74">
        <v>2</v>
      </c>
      <c r="C301" s="74" t="s">
        <v>824</v>
      </c>
      <c r="D301" s="74" t="s">
        <v>825</v>
      </c>
      <c r="E301" s="74" t="s">
        <v>1742</v>
      </c>
      <c r="F301" s="208"/>
    </row>
    <row r="302" spans="1:6" s="207" customFormat="1" ht="30" x14ac:dyDescent="0.25">
      <c r="A302" s="74">
        <v>299</v>
      </c>
      <c r="B302" s="74">
        <v>3</v>
      </c>
      <c r="C302" s="74" t="s">
        <v>824</v>
      </c>
      <c r="D302" s="74" t="s">
        <v>825</v>
      </c>
      <c r="E302" s="74" t="s">
        <v>1743</v>
      </c>
      <c r="F302" s="208"/>
    </row>
    <row r="303" spans="1:6" s="207" customFormat="1" ht="30" x14ac:dyDescent="0.25">
      <c r="A303" s="74">
        <v>300</v>
      </c>
      <c r="B303" s="74">
        <v>4</v>
      </c>
      <c r="C303" s="74" t="s">
        <v>824</v>
      </c>
      <c r="D303" s="74" t="s">
        <v>825</v>
      </c>
      <c r="E303" s="74" t="s">
        <v>1744</v>
      </c>
      <c r="F303" s="208"/>
    </row>
    <row r="304" spans="1:6" s="207" customFormat="1" ht="15" x14ac:dyDescent="0.25">
      <c r="A304" s="74">
        <v>301</v>
      </c>
      <c r="B304" s="74">
        <v>4</v>
      </c>
      <c r="C304" s="74" t="s">
        <v>824</v>
      </c>
      <c r="D304" s="74" t="s">
        <v>825</v>
      </c>
      <c r="E304" s="74" t="s">
        <v>1745</v>
      </c>
      <c r="F304" s="208"/>
    </row>
    <row r="305" spans="1:6" s="207" customFormat="1" ht="30" x14ac:dyDescent="0.25">
      <c r="A305" s="74">
        <v>302</v>
      </c>
      <c r="B305" s="74">
        <v>5</v>
      </c>
      <c r="C305" s="74" t="s">
        <v>824</v>
      </c>
      <c r="D305" s="74" t="s">
        <v>825</v>
      </c>
      <c r="E305" s="74" t="s">
        <v>2363</v>
      </c>
      <c r="F305" s="208"/>
    </row>
    <row r="306" spans="1:6" s="207" customFormat="1" ht="30" x14ac:dyDescent="0.25">
      <c r="A306" s="74">
        <v>303</v>
      </c>
      <c r="B306" s="74">
        <v>5</v>
      </c>
      <c r="C306" s="74" t="s">
        <v>824</v>
      </c>
      <c r="D306" s="74" t="s">
        <v>825</v>
      </c>
      <c r="E306" s="74" t="s">
        <v>2364</v>
      </c>
      <c r="F306" s="208"/>
    </row>
    <row r="307" spans="1:6" s="207" customFormat="1" ht="30" x14ac:dyDescent="0.25">
      <c r="A307" s="74">
        <v>304</v>
      </c>
      <c r="B307" s="74">
        <v>6</v>
      </c>
      <c r="C307" s="74" t="s">
        <v>824</v>
      </c>
      <c r="D307" s="74" t="s">
        <v>825</v>
      </c>
      <c r="E307" s="74" t="s">
        <v>2365</v>
      </c>
      <c r="F307" s="208"/>
    </row>
    <row r="308" spans="1:6" s="207" customFormat="1" ht="30" x14ac:dyDescent="0.25">
      <c r="A308" s="74">
        <v>305</v>
      </c>
      <c r="B308" s="74">
        <v>6</v>
      </c>
      <c r="C308" s="74" t="s">
        <v>824</v>
      </c>
      <c r="D308" s="74" t="s">
        <v>825</v>
      </c>
      <c r="E308" s="74" t="s">
        <v>1440</v>
      </c>
      <c r="F308" s="208"/>
    </row>
    <row r="309" spans="1:6" s="207" customFormat="1" ht="15" x14ac:dyDescent="0.25">
      <c r="A309" s="74">
        <v>306</v>
      </c>
      <c r="B309" s="74">
        <v>7</v>
      </c>
      <c r="C309" s="74" t="s">
        <v>824</v>
      </c>
      <c r="D309" s="74" t="s">
        <v>825</v>
      </c>
      <c r="E309" s="74" t="s">
        <v>1441</v>
      </c>
      <c r="F309" s="208"/>
    </row>
    <row r="310" spans="1:6" s="207" customFormat="1" ht="30" x14ac:dyDescent="0.25">
      <c r="A310" s="74">
        <v>307</v>
      </c>
      <c r="B310" s="74">
        <v>7</v>
      </c>
      <c r="C310" s="74" t="s">
        <v>824</v>
      </c>
      <c r="D310" s="74" t="s">
        <v>825</v>
      </c>
      <c r="E310" s="74" t="s">
        <v>1442</v>
      </c>
      <c r="F310" s="208"/>
    </row>
    <row r="311" spans="1:6" s="207" customFormat="1" ht="15" x14ac:dyDescent="0.25">
      <c r="A311" s="74">
        <v>308</v>
      </c>
      <c r="B311" s="74">
        <v>8</v>
      </c>
      <c r="C311" s="74" t="s">
        <v>824</v>
      </c>
      <c r="D311" s="74" t="s">
        <v>825</v>
      </c>
      <c r="E311" s="74" t="s">
        <v>1443</v>
      </c>
      <c r="F311" s="208"/>
    </row>
    <row r="312" spans="1:6" s="207" customFormat="1" ht="30" x14ac:dyDescent="0.25">
      <c r="A312" s="74">
        <v>309</v>
      </c>
      <c r="B312" s="74">
        <v>8</v>
      </c>
      <c r="C312" s="74" t="s">
        <v>824</v>
      </c>
      <c r="D312" s="74" t="s">
        <v>825</v>
      </c>
      <c r="E312" s="74" t="s">
        <v>2483</v>
      </c>
      <c r="F312" s="208"/>
    </row>
    <row r="313" spans="1:6" s="207" customFormat="1" ht="30" x14ac:dyDescent="0.25">
      <c r="A313" s="74">
        <v>310</v>
      </c>
      <c r="B313" s="74">
        <v>8</v>
      </c>
      <c r="C313" s="74" t="s">
        <v>824</v>
      </c>
      <c r="D313" s="74" t="s">
        <v>825</v>
      </c>
      <c r="E313" s="74" t="s">
        <v>2366</v>
      </c>
      <c r="F313" s="208"/>
    </row>
    <row r="314" spans="1:6" s="207" customFormat="1" ht="15" x14ac:dyDescent="0.25">
      <c r="A314" s="74">
        <v>311</v>
      </c>
      <c r="B314" s="74">
        <v>9</v>
      </c>
      <c r="C314" s="74" t="s">
        <v>824</v>
      </c>
      <c r="D314" s="74" t="s">
        <v>825</v>
      </c>
      <c r="E314" s="74" t="s">
        <v>2367</v>
      </c>
      <c r="F314" s="208"/>
    </row>
    <row r="315" spans="1:6" s="207" customFormat="1" ht="15" x14ac:dyDescent="0.25">
      <c r="A315" s="74">
        <v>312</v>
      </c>
      <c r="B315" s="74">
        <v>9</v>
      </c>
      <c r="C315" s="74" t="s">
        <v>824</v>
      </c>
      <c r="D315" s="74" t="s">
        <v>825</v>
      </c>
      <c r="E315" s="74" t="s">
        <v>2368</v>
      </c>
      <c r="F315" s="208"/>
    </row>
    <row r="316" spans="1:6" s="207" customFormat="1" ht="30" x14ac:dyDescent="0.25">
      <c r="A316" s="74">
        <v>313</v>
      </c>
      <c r="B316" s="74">
        <v>9</v>
      </c>
      <c r="C316" s="74" t="s">
        <v>824</v>
      </c>
      <c r="D316" s="74" t="s">
        <v>825</v>
      </c>
      <c r="E316" s="74" t="s">
        <v>2484</v>
      </c>
      <c r="F316" s="208"/>
    </row>
    <row r="317" spans="1:6" s="207" customFormat="1" ht="15" x14ac:dyDescent="0.25">
      <c r="A317" s="74">
        <v>314</v>
      </c>
      <c r="B317" s="74">
        <v>10</v>
      </c>
      <c r="C317" s="74" t="s">
        <v>824</v>
      </c>
      <c r="D317" s="74" t="s">
        <v>825</v>
      </c>
      <c r="E317" s="74" t="s">
        <v>2369</v>
      </c>
      <c r="F317" s="208"/>
    </row>
    <row r="318" spans="1:6" s="207" customFormat="1" ht="15" x14ac:dyDescent="0.25">
      <c r="A318" s="74">
        <v>315</v>
      </c>
      <c r="B318" s="74">
        <v>10</v>
      </c>
      <c r="C318" s="74" t="s">
        <v>824</v>
      </c>
      <c r="D318" s="74" t="s">
        <v>825</v>
      </c>
      <c r="E318" s="74" t="s">
        <v>2370</v>
      </c>
      <c r="F318" s="208"/>
    </row>
    <row r="319" spans="1:6" s="207" customFormat="1" ht="30" x14ac:dyDescent="0.25">
      <c r="A319" s="74">
        <v>316</v>
      </c>
      <c r="B319" s="74">
        <v>1</v>
      </c>
      <c r="C319" s="74" t="s">
        <v>824</v>
      </c>
      <c r="D319" s="74" t="s">
        <v>313</v>
      </c>
      <c r="E319" s="74" t="s">
        <v>1746</v>
      </c>
      <c r="F319" s="208"/>
    </row>
    <row r="320" spans="1:6" s="207" customFormat="1" ht="30" x14ac:dyDescent="0.25">
      <c r="A320" s="74">
        <v>317</v>
      </c>
      <c r="B320" s="74">
        <v>2</v>
      </c>
      <c r="C320" s="74" t="s">
        <v>824</v>
      </c>
      <c r="D320" s="74" t="s">
        <v>313</v>
      </c>
      <c r="E320" s="74" t="s">
        <v>1747</v>
      </c>
      <c r="F320" s="208"/>
    </row>
    <row r="321" spans="1:6" s="207" customFormat="1" ht="15" x14ac:dyDescent="0.25">
      <c r="A321" s="74">
        <v>318</v>
      </c>
      <c r="B321" s="74">
        <v>2</v>
      </c>
      <c r="C321" s="74" t="s">
        <v>824</v>
      </c>
      <c r="D321" s="74" t="s">
        <v>313</v>
      </c>
      <c r="E321" s="74" t="s">
        <v>1748</v>
      </c>
      <c r="F321" s="208"/>
    </row>
    <row r="322" spans="1:6" s="207" customFormat="1" ht="30" x14ac:dyDescent="0.25">
      <c r="A322" s="74">
        <v>319</v>
      </c>
      <c r="B322" s="74">
        <v>3</v>
      </c>
      <c r="C322" s="74" t="s">
        <v>824</v>
      </c>
      <c r="D322" s="74" t="s">
        <v>313</v>
      </c>
      <c r="E322" s="74" t="s">
        <v>1749</v>
      </c>
      <c r="F322" s="208"/>
    </row>
    <row r="323" spans="1:6" s="207" customFormat="1" ht="15" x14ac:dyDescent="0.25">
      <c r="A323" s="74">
        <v>320</v>
      </c>
      <c r="B323" s="74">
        <v>3</v>
      </c>
      <c r="C323" s="74" t="s">
        <v>824</v>
      </c>
      <c r="D323" s="74" t="s">
        <v>313</v>
      </c>
      <c r="E323" s="74" t="s">
        <v>1750</v>
      </c>
      <c r="F323" s="208"/>
    </row>
    <row r="324" spans="1:6" s="207" customFormat="1" ht="30" x14ac:dyDescent="0.25">
      <c r="A324" s="74">
        <v>321</v>
      </c>
      <c r="B324" s="74">
        <v>4</v>
      </c>
      <c r="C324" s="74" t="s">
        <v>824</v>
      </c>
      <c r="D324" s="74" t="s">
        <v>313</v>
      </c>
      <c r="E324" s="74" t="s">
        <v>1751</v>
      </c>
      <c r="F324" s="208"/>
    </row>
    <row r="325" spans="1:6" s="207" customFormat="1" ht="30" x14ac:dyDescent="0.25">
      <c r="A325" s="74">
        <v>322</v>
      </c>
      <c r="B325" s="74">
        <v>4</v>
      </c>
      <c r="C325" s="74" t="s">
        <v>824</v>
      </c>
      <c r="D325" s="74" t="s">
        <v>313</v>
      </c>
      <c r="E325" s="74" t="s">
        <v>2485</v>
      </c>
      <c r="F325" s="208"/>
    </row>
    <row r="326" spans="1:6" s="207" customFormat="1" ht="30" x14ac:dyDescent="0.25">
      <c r="A326" s="74">
        <v>323</v>
      </c>
      <c r="B326" s="74">
        <v>5</v>
      </c>
      <c r="C326" s="74" t="s">
        <v>824</v>
      </c>
      <c r="D326" s="74" t="s">
        <v>313</v>
      </c>
      <c r="E326" s="74" t="s">
        <v>1524</v>
      </c>
      <c r="F326" s="208"/>
    </row>
    <row r="327" spans="1:6" s="207" customFormat="1" ht="30" x14ac:dyDescent="0.25">
      <c r="A327" s="74">
        <v>324</v>
      </c>
      <c r="B327" s="74">
        <v>5</v>
      </c>
      <c r="C327" s="74" t="s">
        <v>824</v>
      </c>
      <c r="D327" s="74" t="s">
        <v>313</v>
      </c>
      <c r="E327" s="74" t="s">
        <v>2371</v>
      </c>
      <c r="F327" s="208"/>
    </row>
    <row r="328" spans="1:6" s="207" customFormat="1" ht="30" x14ac:dyDescent="0.25">
      <c r="A328" s="74">
        <v>325</v>
      </c>
      <c r="B328" s="74">
        <v>6</v>
      </c>
      <c r="C328" s="74" t="s">
        <v>824</v>
      </c>
      <c r="D328" s="74" t="s">
        <v>313</v>
      </c>
      <c r="E328" s="74" t="s">
        <v>2486</v>
      </c>
      <c r="F328" s="208"/>
    </row>
    <row r="329" spans="1:6" s="207" customFormat="1" ht="30" x14ac:dyDescent="0.25">
      <c r="A329" s="74">
        <v>326</v>
      </c>
      <c r="B329" s="74">
        <v>6</v>
      </c>
      <c r="C329" s="74" t="s">
        <v>824</v>
      </c>
      <c r="D329" s="74" t="s">
        <v>313</v>
      </c>
      <c r="E329" s="74" t="s">
        <v>1444</v>
      </c>
      <c r="F329" s="208"/>
    </row>
    <row r="330" spans="1:6" s="207" customFormat="1" ht="30" x14ac:dyDescent="0.25">
      <c r="A330" s="74">
        <v>327</v>
      </c>
      <c r="B330" s="74">
        <v>6</v>
      </c>
      <c r="C330" s="74" t="s">
        <v>824</v>
      </c>
      <c r="D330" s="74" t="s">
        <v>313</v>
      </c>
      <c r="E330" s="74" t="s">
        <v>1445</v>
      </c>
      <c r="F330" s="208"/>
    </row>
    <row r="331" spans="1:6" s="207" customFormat="1" ht="30" x14ac:dyDescent="0.25">
      <c r="A331" s="74">
        <v>328</v>
      </c>
      <c r="B331" s="74">
        <v>7</v>
      </c>
      <c r="C331" s="74" t="s">
        <v>824</v>
      </c>
      <c r="D331" s="74" t="s">
        <v>313</v>
      </c>
      <c r="E331" s="74" t="s">
        <v>2372</v>
      </c>
      <c r="F331" s="208"/>
    </row>
    <row r="332" spans="1:6" s="207" customFormat="1" ht="30" x14ac:dyDescent="0.25">
      <c r="A332" s="74">
        <v>329</v>
      </c>
      <c r="B332" s="74">
        <v>7</v>
      </c>
      <c r="C332" s="74" t="s">
        <v>824</v>
      </c>
      <c r="D332" s="74" t="s">
        <v>313</v>
      </c>
      <c r="E332" s="74" t="s">
        <v>2373</v>
      </c>
      <c r="F332" s="208"/>
    </row>
    <row r="333" spans="1:6" s="207" customFormat="1" ht="15" x14ac:dyDescent="0.25">
      <c r="A333" s="74">
        <v>330</v>
      </c>
      <c r="B333" s="74">
        <v>7</v>
      </c>
      <c r="C333" s="74" t="s">
        <v>824</v>
      </c>
      <c r="D333" s="74" t="s">
        <v>313</v>
      </c>
      <c r="E333" s="74" t="s">
        <v>2374</v>
      </c>
      <c r="F333" s="210"/>
    </row>
    <row r="334" spans="1:6" s="207" customFormat="1" ht="30" x14ac:dyDescent="0.25">
      <c r="A334" s="74">
        <v>331</v>
      </c>
      <c r="B334" s="74">
        <v>7</v>
      </c>
      <c r="C334" s="74" t="s">
        <v>824</v>
      </c>
      <c r="D334" s="74" t="s">
        <v>313</v>
      </c>
      <c r="E334" s="74" t="s">
        <v>2375</v>
      </c>
      <c r="F334" s="208"/>
    </row>
    <row r="335" spans="1:6" s="207" customFormat="1" ht="30" x14ac:dyDescent="0.25">
      <c r="A335" s="74">
        <v>332</v>
      </c>
      <c r="B335" s="74">
        <v>8</v>
      </c>
      <c r="C335" s="74" t="s">
        <v>824</v>
      </c>
      <c r="D335" s="74" t="s">
        <v>313</v>
      </c>
      <c r="E335" s="74" t="s">
        <v>2376</v>
      </c>
      <c r="F335" s="208"/>
    </row>
    <row r="336" spans="1:6" s="207" customFormat="1" ht="30" x14ac:dyDescent="0.25">
      <c r="A336" s="74">
        <v>333</v>
      </c>
      <c r="B336" s="74">
        <v>8</v>
      </c>
      <c r="C336" s="74" t="s">
        <v>824</v>
      </c>
      <c r="D336" s="74" t="s">
        <v>313</v>
      </c>
      <c r="E336" s="74" t="s">
        <v>2487</v>
      </c>
      <c r="F336" s="208"/>
    </row>
    <row r="337" spans="1:6" s="207" customFormat="1" ht="30" x14ac:dyDescent="0.25">
      <c r="A337" s="74">
        <v>334</v>
      </c>
      <c r="B337" s="74">
        <v>8</v>
      </c>
      <c r="C337" s="74" t="s">
        <v>824</v>
      </c>
      <c r="D337" s="74" t="s">
        <v>313</v>
      </c>
      <c r="E337" s="74" t="s">
        <v>2488</v>
      </c>
      <c r="F337" s="208"/>
    </row>
    <row r="338" spans="1:6" s="207" customFormat="1" ht="30" x14ac:dyDescent="0.25">
      <c r="A338" s="74">
        <v>335</v>
      </c>
      <c r="B338" s="74">
        <v>9</v>
      </c>
      <c r="C338" s="74" t="s">
        <v>824</v>
      </c>
      <c r="D338" s="74" t="s">
        <v>313</v>
      </c>
      <c r="E338" s="74" t="s">
        <v>2377</v>
      </c>
      <c r="F338" s="208"/>
    </row>
    <row r="339" spans="1:6" s="207" customFormat="1" ht="15" x14ac:dyDescent="0.25">
      <c r="A339" s="74">
        <v>336</v>
      </c>
      <c r="B339" s="74">
        <v>9</v>
      </c>
      <c r="C339" s="74" t="s">
        <v>824</v>
      </c>
      <c r="D339" s="74" t="s">
        <v>313</v>
      </c>
      <c r="E339" s="74" t="s">
        <v>2489</v>
      </c>
      <c r="F339" s="208"/>
    </row>
    <row r="340" spans="1:6" s="207" customFormat="1" ht="15" x14ac:dyDescent="0.25">
      <c r="A340" s="74">
        <v>337</v>
      </c>
      <c r="B340" s="74">
        <v>9</v>
      </c>
      <c r="C340" s="74" t="s">
        <v>824</v>
      </c>
      <c r="D340" s="74" t="s">
        <v>313</v>
      </c>
      <c r="E340" s="74" t="s">
        <v>2378</v>
      </c>
      <c r="F340" s="208"/>
    </row>
    <row r="341" spans="1:6" s="207" customFormat="1" ht="30" x14ac:dyDescent="0.25">
      <c r="A341" s="74">
        <v>338</v>
      </c>
      <c r="B341" s="74">
        <v>9</v>
      </c>
      <c r="C341" s="74" t="s">
        <v>824</v>
      </c>
      <c r="D341" s="74" t="s">
        <v>313</v>
      </c>
      <c r="E341" s="74" t="s">
        <v>2490</v>
      </c>
      <c r="F341" s="208"/>
    </row>
    <row r="342" spans="1:6" s="207" customFormat="1" ht="30" x14ac:dyDescent="0.25">
      <c r="A342" s="74">
        <v>339</v>
      </c>
      <c r="B342" s="74">
        <v>10</v>
      </c>
      <c r="C342" s="74" t="s">
        <v>824</v>
      </c>
      <c r="D342" s="74" t="s">
        <v>313</v>
      </c>
      <c r="E342" s="74" t="s">
        <v>1446</v>
      </c>
      <c r="F342" s="208"/>
    </row>
    <row r="343" spans="1:6" s="207" customFormat="1" ht="30" x14ac:dyDescent="0.25">
      <c r="A343" s="74">
        <v>340</v>
      </c>
      <c r="B343" s="74">
        <v>10</v>
      </c>
      <c r="C343" s="74" t="s">
        <v>824</v>
      </c>
      <c r="D343" s="74" t="s">
        <v>313</v>
      </c>
      <c r="E343" s="74" t="s">
        <v>1447</v>
      </c>
      <c r="F343" s="208"/>
    </row>
    <row r="344" spans="1:6" s="207" customFormat="1" ht="30" x14ac:dyDescent="0.25">
      <c r="A344" s="74">
        <v>341</v>
      </c>
      <c r="B344" s="74">
        <v>1</v>
      </c>
      <c r="C344" s="74" t="s">
        <v>824</v>
      </c>
      <c r="D344" s="74" t="s">
        <v>328</v>
      </c>
      <c r="E344" s="74" t="s">
        <v>1752</v>
      </c>
      <c r="F344" s="208"/>
    </row>
    <row r="345" spans="1:6" s="207" customFormat="1" ht="15" x14ac:dyDescent="0.25">
      <c r="A345" s="74">
        <v>342</v>
      </c>
      <c r="B345" s="74">
        <v>2</v>
      </c>
      <c r="C345" s="74" t="s">
        <v>824</v>
      </c>
      <c r="D345" s="74" t="s">
        <v>328</v>
      </c>
      <c r="E345" s="74" t="s">
        <v>1753</v>
      </c>
      <c r="F345" s="208"/>
    </row>
    <row r="346" spans="1:6" s="207" customFormat="1" ht="30" x14ac:dyDescent="0.25">
      <c r="A346" s="74">
        <v>343</v>
      </c>
      <c r="B346" s="74">
        <v>3</v>
      </c>
      <c r="C346" s="74" t="s">
        <v>824</v>
      </c>
      <c r="D346" s="74" t="s">
        <v>328</v>
      </c>
      <c r="E346" s="74" t="s">
        <v>1754</v>
      </c>
      <c r="F346" s="208"/>
    </row>
    <row r="347" spans="1:6" s="207" customFormat="1" ht="15" x14ac:dyDescent="0.25">
      <c r="A347" s="74">
        <v>344</v>
      </c>
      <c r="B347" s="74">
        <v>3</v>
      </c>
      <c r="C347" s="74" t="s">
        <v>824</v>
      </c>
      <c r="D347" s="74" t="s">
        <v>328</v>
      </c>
      <c r="E347" s="74" t="s">
        <v>1755</v>
      </c>
      <c r="F347" s="208"/>
    </row>
    <row r="348" spans="1:6" s="207" customFormat="1" ht="30" x14ac:dyDescent="0.25">
      <c r="A348" s="74">
        <v>345</v>
      </c>
      <c r="B348" s="74">
        <v>4</v>
      </c>
      <c r="C348" s="74" t="s">
        <v>824</v>
      </c>
      <c r="D348" s="74" t="s">
        <v>328</v>
      </c>
      <c r="E348" s="74" t="s">
        <v>2491</v>
      </c>
      <c r="F348" s="208"/>
    </row>
    <row r="349" spans="1:6" s="207" customFormat="1" ht="30" x14ac:dyDescent="0.25">
      <c r="A349" s="74">
        <v>346</v>
      </c>
      <c r="B349" s="74">
        <v>4</v>
      </c>
      <c r="C349" s="74" t="s">
        <v>824</v>
      </c>
      <c r="D349" s="74" t="s">
        <v>328</v>
      </c>
      <c r="E349" s="74" t="s">
        <v>1756</v>
      </c>
      <c r="F349" s="208"/>
    </row>
    <row r="350" spans="1:6" s="207" customFormat="1" ht="15" x14ac:dyDescent="0.25">
      <c r="A350" s="74">
        <v>347</v>
      </c>
      <c r="B350" s="74">
        <v>5</v>
      </c>
      <c r="C350" s="74" t="s">
        <v>824</v>
      </c>
      <c r="D350" s="74" t="s">
        <v>328</v>
      </c>
      <c r="E350" s="74" t="s">
        <v>2379</v>
      </c>
      <c r="F350" s="208"/>
    </row>
    <row r="351" spans="1:6" s="207" customFormat="1" ht="15" x14ac:dyDescent="0.25">
      <c r="A351" s="74">
        <v>348</v>
      </c>
      <c r="B351" s="74">
        <v>5</v>
      </c>
      <c r="C351" s="74" t="s">
        <v>824</v>
      </c>
      <c r="D351" s="74" t="s">
        <v>328</v>
      </c>
      <c r="E351" s="74" t="s">
        <v>1448</v>
      </c>
      <c r="F351" s="208"/>
    </row>
    <row r="352" spans="1:6" s="207" customFormat="1" ht="15" x14ac:dyDescent="0.25">
      <c r="A352" s="74">
        <v>349</v>
      </c>
      <c r="B352" s="74">
        <v>5</v>
      </c>
      <c r="C352" s="74" t="s">
        <v>824</v>
      </c>
      <c r="D352" s="74" t="s">
        <v>328</v>
      </c>
      <c r="E352" s="74" t="s">
        <v>2492</v>
      </c>
      <c r="F352" s="208"/>
    </row>
    <row r="353" spans="1:6" s="207" customFormat="1" ht="30" x14ac:dyDescent="0.25">
      <c r="A353" s="74">
        <v>350</v>
      </c>
      <c r="B353" s="74">
        <v>6</v>
      </c>
      <c r="C353" s="74" t="s">
        <v>824</v>
      </c>
      <c r="D353" s="74" t="s">
        <v>328</v>
      </c>
      <c r="E353" s="74" t="s">
        <v>2493</v>
      </c>
      <c r="F353" s="208"/>
    </row>
    <row r="354" spans="1:6" s="207" customFormat="1" ht="30" x14ac:dyDescent="0.25">
      <c r="A354" s="74">
        <v>351</v>
      </c>
      <c r="B354" s="74">
        <v>6</v>
      </c>
      <c r="C354" s="74" t="s">
        <v>824</v>
      </c>
      <c r="D354" s="74" t="s">
        <v>328</v>
      </c>
      <c r="E354" s="74" t="s">
        <v>2494</v>
      </c>
      <c r="F354" s="208"/>
    </row>
    <row r="355" spans="1:6" s="207" customFormat="1" ht="30" x14ac:dyDescent="0.25">
      <c r="A355" s="74">
        <v>352</v>
      </c>
      <c r="B355" s="74">
        <v>7</v>
      </c>
      <c r="C355" s="74" t="s">
        <v>824</v>
      </c>
      <c r="D355" s="74" t="s">
        <v>328</v>
      </c>
      <c r="E355" s="74" t="s">
        <v>2100</v>
      </c>
      <c r="F355" s="208"/>
    </row>
    <row r="356" spans="1:6" s="207" customFormat="1" ht="30" x14ac:dyDescent="0.25">
      <c r="A356" s="74">
        <v>353</v>
      </c>
      <c r="B356" s="74">
        <v>7</v>
      </c>
      <c r="C356" s="74" t="s">
        <v>824</v>
      </c>
      <c r="D356" s="74" t="s">
        <v>328</v>
      </c>
      <c r="E356" s="74" t="s">
        <v>2495</v>
      </c>
      <c r="F356" s="208"/>
    </row>
    <row r="357" spans="1:6" s="207" customFormat="1" ht="15" x14ac:dyDescent="0.25">
      <c r="A357" s="74">
        <v>354</v>
      </c>
      <c r="B357" s="74">
        <v>8</v>
      </c>
      <c r="C357" s="74" t="s">
        <v>824</v>
      </c>
      <c r="D357" s="74" t="s">
        <v>328</v>
      </c>
      <c r="E357" s="74" t="s">
        <v>1449</v>
      </c>
      <c r="F357" s="208"/>
    </row>
    <row r="358" spans="1:6" s="207" customFormat="1" ht="30" x14ac:dyDescent="0.25">
      <c r="A358" s="74">
        <v>355</v>
      </c>
      <c r="B358" s="74">
        <v>8</v>
      </c>
      <c r="C358" s="74" t="s">
        <v>824</v>
      </c>
      <c r="D358" s="74" t="s">
        <v>328</v>
      </c>
      <c r="E358" s="74" t="s">
        <v>2380</v>
      </c>
      <c r="F358" s="208"/>
    </row>
    <row r="359" spans="1:6" s="207" customFormat="1" ht="15" x14ac:dyDescent="0.25">
      <c r="A359" s="74">
        <v>356</v>
      </c>
      <c r="B359" s="74">
        <v>8</v>
      </c>
      <c r="C359" s="74" t="s">
        <v>824</v>
      </c>
      <c r="D359" s="74" t="s">
        <v>328</v>
      </c>
      <c r="E359" s="74" t="s">
        <v>1450</v>
      </c>
      <c r="F359" s="208"/>
    </row>
    <row r="360" spans="1:6" s="207" customFormat="1" ht="15" x14ac:dyDescent="0.25">
      <c r="A360" s="74">
        <v>357</v>
      </c>
      <c r="B360" s="74">
        <v>9</v>
      </c>
      <c r="C360" s="74" t="s">
        <v>824</v>
      </c>
      <c r="D360" s="74" t="s">
        <v>328</v>
      </c>
      <c r="E360" s="74" t="s">
        <v>2381</v>
      </c>
      <c r="F360" s="208"/>
    </row>
    <row r="361" spans="1:6" s="207" customFormat="1" ht="30" x14ac:dyDescent="0.25">
      <c r="A361" s="74">
        <v>358</v>
      </c>
      <c r="B361" s="74">
        <v>9</v>
      </c>
      <c r="C361" s="74" t="s">
        <v>824</v>
      </c>
      <c r="D361" s="74" t="s">
        <v>328</v>
      </c>
      <c r="E361" s="74" t="s">
        <v>2382</v>
      </c>
      <c r="F361" s="208"/>
    </row>
    <row r="362" spans="1:6" s="207" customFormat="1" ht="15" x14ac:dyDescent="0.25">
      <c r="A362" s="74">
        <v>359</v>
      </c>
      <c r="B362" s="74">
        <v>9</v>
      </c>
      <c r="C362" s="74" t="s">
        <v>824</v>
      </c>
      <c r="D362" s="74" t="s">
        <v>328</v>
      </c>
      <c r="E362" s="74" t="s">
        <v>1451</v>
      </c>
      <c r="F362" s="208"/>
    </row>
    <row r="363" spans="1:6" s="207" customFormat="1" ht="15" x14ac:dyDescent="0.25">
      <c r="A363" s="74">
        <v>360</v>
      </c>
      <c r="B363" s="74">
        <v>10</v>
      </c>
      <c r="C363" s="74" t="s">
        <v>824</v>
      </c>
      <c r="D363" s="74" t="s">
        <v>328</v>
      </c>
      <c r="E363" s="74" t="s">
        <v>2383</v>
      </c>
      <c r="F363" s="208"/>
    </row>
    <row r="364" spans="1:6" s="207" customFormat="1" ht="15" x14ac:dyDescent="0.25">
      <c r="A364" s="74">
        <v>361</v>
      </c>
      <c r="B364" s="74">
        <v>10</v>
      </c>
      <c r="C364" s="74" t="s">
        <v>824</v>
      </c>
      <c r="D364" s="74" t="s">
        <v>328</v>
      </c>
      <c r="E364" s="74" t="s">
        <v>2384</v>
      </c>
      <c r="F364" s="208"/>
    </row>
    <row r="365" spans="1:6" s="207" customFormat="1" ht="30" x14ac:dyDescent="0.25">
      <c r="A365" s="74">
        <v>362</v>
      </c>
      <c r="B365" s="74">
        <v>1</v>
      </c>
      <c r="C365" s="74" t="s">
        <v>344</v>
      </c>
      <c r="D365" s="74" t="s">
        <v>1249</v>
      </c>
      <c r="E365" s="74" t="s">
        <v>1757</v>
      </c>
      <c r="F365" s="208"/>
    </row>
    <row r="366" spans="1:6" s="207" customFormat="1" ht="15" x14ac:dyDescent="0.25">
      <c r="A366" s="74">
        <v>363</v>
      </c>
      <c r="B366" s="74">
        <v>2</v>
      </c>
      <c r="C366" s="74" t="s">
        <v>344</v>
      </c>
      <c r="D366" s="74" t="s">
        <v>1249</v>
      </c>
      <c r="E366" s="74" t="s">
        <v>1758</v>
      </c>
      <c r="F366" s="208"/>
    </row>
    <row r="367" spans="1:6" s="207" customFormat="1" ht="15" x14ac:dyDescent="0.25">
      <c r="A367" s="74">
        <v>364</v>
      </c>
      <c r="B367" s="74">
        <v>3</v>
      </c>
      <c r="C367" s="74" t="s">
        <v>344</v>
      </c>
      <c r="D367" s="74" t="s">
        <v>1249</v>
      </c>
      <c r="E367" s="74" t="s">
        <v>1759</v>
      </c>
      <c r="F367" s="208"/>
    </row>
    <row r="368" spans="1:6" s="207" customFormat="1" ht="15" x14ac:dyDescent="0.25">
      <c r="A368" s="74">
        <v>365</v>
      </c>
      <c r="B368" s="74">
        <v>4</v>
      </c>
      <c r="C368" s="74" t="s">
        <v>344</v>
      </c>
      <c r="D368" s="74" t="s">
        <v>1249</v>
      </c>
      <c r="E368" s="74" t="s">
        <v>1760</v>
      </c>
      <c r="F368" s="208"/>
    </row>
    <row r="369" spans="1:6" s="207" customFormat="1" ht="30" x14ac:dyDescent="0.25">
      <c r="A369" s="74">
        <v>366</v>
      </c>
      <c r="B369" s="74">
        <v>4</v>
      </c>
      <c r="C369" s="74" t="s">
        <v>344</v>
      </c>
      <c r="D369" s="74" t="s">
        <v>1249</v>
      </c>
      <c r="E369" s="74" t="s">
        <v>1761</v>
      </c>
      <c r="F369" s="208"/>
    </row>
    <row r="370" spans="1:6" s="207" customFormat="1" ht="30" x14ac:dyDescent="0.25">
      <c r="A370" s="74">
        <v>367</v>
      </c>
      <c r="B370" s="74">
        <v>4</v>
      </c>
      <c r="C370" s="74" t="s">
        <v>344</v>
      </c>
      <c r="D370" s="74" t="s">
        <v>1249</v>
      </c>
      <c r="E370" s="74" t="s">
        <v>1762</v>
      </c>
      <c r="F370" s="208"/>
    </row>
    <row r="371" spans="1:6" s="207" customFormat="1" ht="30" x14ac:dyDescent="0.25">
      <c r="A371" s="74">
        <v>368</v>
      </c>
      <c r="B371" s="74">
        <v>5</v>
      </c>
      <c r="C371" s="74" t="s">
        <v>344</v>
      </c>
      <c r="D371" s="74" t="s">
        <v>1249</v>
      </c>
      <c r="E371" s="74" t="s">
        <v>1452</v>
      </c>
      <c r="F371" s="208"/>
    </row>
    <row r="372" spans="1:6" s="207" customFormat="1" ht="15" x14ac:dyDescent="0.25">
      <c r="A372" s="74">
        <v>369</v>
      </c>
      <c r="B372" s="74">
        <v>6</v>
      </c>
      <c r="C372" s="74" t="s">
        <v>344</v>
      </c>
      <c r="D372" s="74" t="s">
        <v>1249</v>
      </c>
      <c r="E372" s="74" t="s">
        <v>1453</v>
      </c>
      <c r="F372" s="208"/>
    </row>
    <row r="373" spans="1:6" s="207" customFormat="1" ht="15" x14ac:dyDescent="0.25">
      <c r="A373" s="74">
        <v>370</v>
      </c>
      <c r="B373" s="74">
        <v>6</v>
      </c>
      <c r="C373" s="74" t="s">
        <v>344</v>
      </c>
      <c r="D373" s="74" t="s">
        <v>1249</v>
      </c>
      <c r="E373" s="74" t="s">
        <v>1454</v>
      </c>
      <c r="F373" s="208"/>
    </row>
    <row r="374" spans="1:6" s="207" customFormat="1" ht="15" x14ac:dyDescent="0.25">
      <c r="A374" s="74">
        <v>371</v>
      </c>
      <c r="B374" s="74">
        <v>6</v>
      </c>
      <c r="C374" s="74" t="s">
        <v>344</v>
      </c>
      <c r="D374" s="74" t="s">
        <v>1249</v>
      </c>
      <c r="E374" s="74" t="s">
        <v>1455</v>
      </c>
      <c r="F374" s="208"/>
    </row>
    <row r="375" spans="1:6" s="207" customFormat="1" ht="15" x14ac:dyDescent="0.25">
      <c r="A375" s="74">
        <v>372</v>
      </c>
      <c r="B375" s="74">
        <v>6</v>
      </c>
      <c r="C375" s="74" t="s">
        <v>344</v>
      </c>
      <c r="D375" s="74" t="s">
        <v>1249</v>
      </c>
      <c r="E375" s="74" t="s">
        <v>1456</v>
      </c>
      <c r="F375" s="208"/>
    </row>
    <row r="376" spans="1:6" s="207" customFormat="1" ht="15" x14ac:dyDescent="0.25">
      <c r="A376" s="74">
        <v>373</v>
      </c>
      <c r="B376" s="74">
        <v>6</v>
      </c>
      <c r="C376" s="74" t="s">
        <v>344</v>
      </c>
      <c r="D376" s="74" t="s">
        <v>1249</v>
      </c>
      <c r="E376" s="74" t="s">
        <v>1457</v>
      </c>
      <c r="F376" s="208"/>
    </row>
    <row r="377" spans="1:6" s="207" customFormat="1" ht="15" x14ac:dyDescent="0.25">
      <c r="A377" s="74">
        <v>374</v>
      </c>
      <c r="B377" s="74">
        <v>7</v>
      </c>
      <c r="C377" s="74" t="s">
        <v>344</v>
      </c>
      <c r="D377" s="74" t="s">
        <v>1249</v>
      </c>
      <c r="E377" s="74" t="s">
        <v>878</v>
      </c>
      <c r="F377" s="208"/>
    </row>
    <row r="378" spans="1:6" s="207" customFormat="1" ht="45" x14ac:dyDescent="0.25">
      <c r="A378" s="74">
        <v>375</v>
      </c>
      <c r="B378" s="74">
        <v>7</v>
      </c>
      <c r="C378" s="74" t="s">
        <v>344</v>
      </c>
      <c r="D378" s="74" t="s">
        <v>1249</v>
      </c>
      <c r="E378" s="74" t="s">
        <v>1458</v>
      </c>
      <c r="F378" s="208"/>
    </row>
    <row r="379" spans="1:6" s="207" customFormat="1" ht="15" x14ac:dyDescent="0.25">
      <c r="A379" s="74">
        <v>376</v>
      </c>
      <c r="B379" s="74">
        <v>7</v>
      </c>
      <c r="C379" s="74" t="s">
        <v>344</v>
      </c>
      <c r="D379" s="74" t="s">
        <v>1249</v>
      </c>
      <c r="E379" s="74" t="s">
        <v>1459</v>
      </c>
      <c r="F379" s="208"/>
    </row>
    <row r="380" spans="1:6" s="207" customFormat="1" ht="15" x14ac:dyDescent="0.25">
      <c r="A380" s="74">
        <v>377</v>
      </c>
      <c r="B380" s="74">
        <v>8</v>
      </c>
      <c r="C380" s="74" t="s">
        <v>344</v>
      </c>
      <c r="D380" s="74" t="s">
        <v>1249</v>
      </c>
      <c r="E380" s="74" t="s">
        <v>1460</v>
      </c>
      <c r="F380" s="208"/>
    </row>
    <row r="381" spans="1:6" s="207" customFormat="1" ht="15" x14ac:dyDescent="0.25">
      <c r="A381" s="74">
        <v>378</v>
      </c>
      <c r="B381" s="74">
        <v>8</v>
      </c>
      <c r="C381" s="74" t="s">
        <v>344</v>
      </c>
      <c r="D381" s="74" t="s">
        <v>1249</v>
      </c>
      <c r="E381" s="74" t="s">
        <v>1461</v>
      </c>
      <c r="F381" s="208"/>
    </row>
    <row r="382" spans="1:6" s="207" customFormat="1" ht="15" x14ac:dyDescent="0.25">
      <c r="A382" s="74">
        <v>379</v>
      </c>
      <c r="B382" s="74">
        <v>8</v>
      </c>
      <c r="C382" s="74" t="s">
        <v>344</v>
      </c>
      <c r="D382" s="74" t="s">
        <v>1249</v>
      </c>
      <c r="E382" s="74" t="s">
        <v>2496</v>
      </c>
      <c r="F382" s="208"/>
    </row>
    <row r="383" spans="1:6" s="207" customFormat="1" ht="30" x14ac:dyDescent="0.25">
      <c r="A383" s="74">
        <v>380</v>
      </c>
      <c r="B383" s="74">
        <v>8</v>
      </c>
      <c r="C383" s="74" t="s">
        <v>344</v>
      </c>
      <c r="D383" s="74" t="s">
        <v>1249</v>
      </c>
      <c r="E383" s="74" t="s">
        <v>2497</v>
      </c>
      <c r="F383" s="208"/>
    </row>
    <row r="384" spans="1:6" s="207" customFormat="1" ht="15" x14ac:dyDescent="0.25">
      <c r="A384" s="74">
        <v>381</v>
      </c>
      <c r="B384" s="74">
        <v>9</v>
      </c>
      <c r="C384" s="74" t="s">
        <v>344</v>
      </c>
      <c r="D384" s="74" t="s">
        <v>1249</v>
      </c>
      <c r="E384" s="74" t="s">
        <v>2385</v>
      </c>
      <c r="F384" s="208"/>
    </row>
    <row r="385" spans="1:6" s="207" customFormat="1" ht="15" x14ac:dyDescent="0.25">
      <c r="A385" s="74">
        <v>382</v>
      </c>
      <c r="B385" s="74">
        <v>9</v>
      </c>
      <c r="C385" s="74" t="s">
        <v>344</v>
      </c>
      <c r="D385" s="74" t="s">
        <v>1249</v>
      </c>
      <c r="E385" s="74" t="s">
        <v>884</v>
      </c>
      <c r="F385" s="208"/>
    </row>
    <row r="386" spans="1:6" s="207" customFormat="1" ht="30" x14ac:dyDescent="0.25">
      <c r="A386" s="74">
        <v>383</v>
      </c>
      <c r="B386" s="74">
        <v>9</v>
      </c>
      <c r="C386" s="74" t="s">
        <v>344</v>
      </c>
      <c r="D386" s="74" t="s">
        <v>1249</v>
      </c>
      <c r="E386" s="74" t="s">
        <v>1462</v>
      </c>
      <c r="F386" s="208"/>
    </row>
    <row r="387" spans="1:6" s="207" customFormat="1" ht="30" x14ac:dyDescent="0.25">
      <c r="A387" s="74">
        <v>384</v>
      </c>
      <c r="B387" s="74">
        <v>10</v>
      </c>
      <c r="C387" s="74" t="s">
        <v>344</v>
      </c>
      <c r="D387" s="74" t="s">
        <v>1249</v>
      </c>
      <c r="E387" s="74" t="s">
        <v>2386</v>
      </c>
      <c r="F387" s="208"/>
    </row>
    <row r="388" spans="1:6" s="207" customFormat="1" ht="15" x14ac:dyDescent="0.25">
      <c r="A388" s="74">
        <v>385</v>
      </c>
      <c r="B388" s="74">
        <v>10</v>
      </c>
      <c r="C388" s="74" t="s">
        <v>344</v>
      </c>
      <c r="D388" s="74" t="s">
        <v>1249</v>
      </c>
      <c r="E388" s="74" t="s">
        <v>884</v>
      </c>
      <c r="F388" s="208"/>
    </row>
    <row r="389" spans="1:6" s="207" customFormat="1" ht="15" x14ac:dyDescent="0.25">
      <c r="A389" s="74">
        <v>386</v>
      </c>
      <c r="B389" s="74">
        <v>10</v>
      </c>
      <c r="C389" s="74" t="s">
        <v>344</v>
      </c>
      <c r="D389" s="74" t="s">
        <v>1249</v>
      </c>
      <c r="E389" s="74" t="s">
        <v>887</v>
      </c>
      <c r="F389" s="208"/>
    </row>
    <row r="390" spans="1:6" s="207" customFormat="1" ht="15" x14ac:dyDescent="0.25">
      <c r="A390" s="74">
        <v>387</v>
      </c>
      <c r="B390" s="74">
        <v>1</v>
      </c>
      <c r="C390" s="74" t="s">
        <v>344</v>
      </c>
      <c r="D390" s="74" t="s">
        <v>361</v>
      </c>
      <c r="E390" s="74" t="s">
        <v>1763</v>
      </c>
      <c r="F390" s="208"/>
    </row>
    <row r="391" spans="1:6" s="207" customFormat="1" ht="30" x14ac:dyDescent="0.25">
      <c r="A391" s="74">
        <v>388</v>
      </c>
      <c r="B391" s="74">
        <v>1</v>
      </c>
      <c r="C391" s="74" t="s">
        <v>344</v>
      </c>
      <c r="D391" s="74" t="s">
        <v>361</v>
      </c>
      <c r="E391" s="74" t="s">
        <v>1764</v>
      </c>
      <c r="F391" s="208"/>
    </row>
    <row r="392" spans="1:6" s="207" customFormat="1" ht="30" x14ac:dyDescent="0.25">
      <c r="A392" s="74">
        <v>389</v>
      </c>
      <c r="B392" s="74">
        <v>2</v>
      </c>
      <c r="C392" s="74" t="s">
        <v>344</v>
      </c>
      <c r="D392" s="74" t="s">
        <v>361</v>
      </c>
      <c r="E392" s="74" t="s">
        <v>2498</v>
      </c>
      <c r="F392" s="208"/>
    </row>
    <row r="393" spans="1:6" s="207" customFormat="1" ht="30" x14ac:dyDescent="0.25">
      <c r="A393" s="74">
        <v>390</v>
      </c>
      <c r="B393" s="74">
        <v>2</v>
      </c>
      <c r="C393" s="74" t="s">
        <v>344</v>
      </c>
      <c r="D393" s="74" t="s">
        <v>361</v>
      </c>
      <c r="E393" s="74" t="s">
        <v>2387</v>
      </c>
      <c r="F393" s="208"/>
    </row>
    <row r="394" spans="1:6" s="207" customFormat="1" ht="30" x14ac:dyDescent="0.25">
      <c r="A394" s="74">
        <v>391</v>
      </c>
      <c r="B394" s="74">
        <v>3</v>
      </c>
      <c r="C394" s="74" t="s">
        <v>344</v>
      </c>
      <c r="D394" s="74" t="s">
        <v>361</v>
      </c>
      <c r="E394" s="74" t="s">
        <v>1765</v>
      </c>
      <c r="F394" s="208"/>
    </row>
    <row r="395" spans="1:6" s="207" customFormat="1" ht="15" x14ac:dyDescent="0.25">
      <c r="A395" s="74">
        <v>392</v>
      </c>
      <c r="B395" s="74">
        <v>3</v>
      </c>
      <c r="C395" s="74" t="s">
        <v>344</v>
      </c>
      <c r="D395" s="74" t="s">
        <v>361</v>
      </c>
      <c r="E395" s="74" t="s">
        <v>1766</v>
      </c>
      <c r="F395" s="208"/>
    </row>
    <row r="396" spans="1:6" s="207" customFormat="1" ht="15" x14ac:dyDescent="0.25">
      <c r="A396" s="74">
        <v>393</v>
      </c>
      <c r="B396" s="74">
        <v>3</v>
      </c>
      <c r="C396" s="74" t="s">
        <v>344</v>
      </c>
      <c r="D396" s="74" t="s">
        <v>361</v>
      </c>
      <c r="E396" s="74" t="s">
        <v>1767</v>
      </c>
      <c r="F396" s="208"/>
    </row>
    <row r="397" spans="1:6" s="207" customFormat="1" ht="30" x14ac:dyDescent="0.25">
      <c r="A397" s="74">
        <v>394</v>
      </c>
      <c r="B397" s="74">
        <v>4</v>
      </c>
      <c r="C397" s="74" t="s">
        <v>344</v>
      </c>
      <c r="D397" s="74" t="s">
        <v>361</v>
      </c>
      <c r="E397" s="74" t="s">
        <v>1768</v>
      </c>
      <c r="F397" s="208"/>
    </row>
    <row r="398" spans="1:6" s="207" customFormat="1" ht="30" x14ac:dyDescent="0.25">
      <c r="A398" s="74">
        <v>395</v>
      </c>
      <c r="B398" s="74">
        <v>4</v>
      </c>
      <c r="C398" s="74" t="s">
        <v>344</v>
      </c>
      <c r="D398" s="74" t="s">
        <v>361</v>
      </c>
      <c r="E398" s="74" t="s">
        <v>1769</v>
      </c>
      <c r="F398" s="208"/>
    </row>
    <row r="399" spans="1:6" s="207" customFormat="1" ht="30" x14ac:dyDescent="0.25">
      <c r="A399" s="74">
        <v>396</v>
      </c>
      <c r="B399" s="74">
        <v>4</v>
      </c>
      <c r="C399" s="74" t="s">
        <v>344</v>
      </c>
      <c r="D399" s="74" t="s">
        <v>361</v>
      </c>
      <c r="E399" s="74" t="s">
        <v>1770</v>
      </c>
      <c r="F399" s="208"/>
    </row>
    <row r="400" spans="1:6" s="207" customFormat="1" ht="15" x14ac:dyDescent="0.25">
      <c r="A400" s="74">
        <v>397</v>
      </c>
      <c r="B400" s="74">
        <v>5</v>
      </c>
      <c r="C400" s="74" t="s">
        <v>344</v>
      </c>
      <c r="D400" s="74" t="s">
        <v>361</v>
      </c>
      <c r="E400" s="74" t="s">
        <v>1463</v>
      </c>
      <c r="F400" s="208"/>
    </row>
    <row r="401" spans="1:6" s="207" customFormat="1" ht="15" x14ac:dyDescent="0.25">
      <c r="A401" s="74">
        <v>398</v>
      </c>
      <c r="B401" s="74">
        <v>5</v>
      </c>
      <c r="C401" s="74" t="s">
        <v>344</v>
      </c>
      <c r="D401" s="74" t="s">
        <v>361</v>
      </c>
      <c r="E401" s="74" t="s">
        <v>1464</v>
      </c>
      <c r="F401" s="208"/>
    </row>
    <row r="402" spans="1:6" s="207" customFormat="1" ht="30" x14ac:dyDescent="0.25">
      <c r="A402" s="74">
        <v>399</v>
      </c>
      <c r="B402" s="74">
        <v>5</v>
      </c>
      <c r="C402" s="74" t="s">
        <v>344</v>
      </c>
      <c r="D402" s="74" t="s">
        <v>361</v>
      </c>
      <c r="E402" s="74" t="s">
        <v>1465</v>
      </c>
      <c r="F402" s="208"/>
    </row>
    <row r="403" spans="1:6" s="207" customFormat="1" ht="15" x14ac:dyDescent="0.25">
      <c r="A403" s="74">
        <v>400</v>
      </c>
      <c r="B403" s="74">
        <v>6</v>
      </c>
      <c r="C403" s="74" t="s">
        <v>344</v>
      </c>
      <c r="D403" s="74" t="s">
        <v>361</v>
      </c>
      <c r="E403" s="74" t="s">
        <v>2499</v>
      </c>
      <c r="F403" s="208"/>
    </row>
    <row r="404" spans="1:6" s="207" customFormat="1" ht="30" x14ac:dyDescent="0.25">
      <c r="A404" s="74">
        <v>401</v>
      </c>
      <c r="B404" s="74">
        <v>6</v>
      </c>
      <c r="C404" s="74" t="s">
        <v>344</v>
      </c>
      <c r="D404" s="74" t="s">
        <v>361</v>
      </c>
      <c r="E404" s="74" t="s">
        <v>1466</v>
      </c>
      <c r="F404" s="208"/>
    </row>
    <row r="405" spans="1:6" s="207" customFormat="1" ht="15" x14ac:dyDescent="0.25">
      <c r="A405" s="74">
        <v>402</v>
      </c>
      <c r="B405" s="74">
        <v>6</v>
      </c>
      <c r="C405" s="74" t="s">
        <v>344</v>
      </c>
      <c r="D405" s="74" t="s">
        <v>361</v>
      </c>
      <c r="E405" s="74" t="s">
        <v>1464</v>
      </c>
      <c r="F405" s="208"/>
    </row>
    <row r="406" spans="1:6" s="207" customFormat="1" ht="30" x14ac:dyDescent="0.25">
      <c r="A406" s="74">
        <v>403</v>
      </c>
      <c r="B406" s="74">
        <v>6</v>
      </c>
      <c r="C406" s="74" t="s">
        <v>344</v>
      </c>
      <c r="D406" s="74" t="s">
        <v>361</v>
      </c>
      <c r="E406" s="74" t="s">
        <v>895</v>
      </c>
      <c r="F406" s="208"/>
    </row>
    <row r="407" spans="1:6" s="207" customFormat="1" ht="30" x14ac:dyDescent="0.25">
      <c r="A407" s="74">
        <v>404</v>
      </c>
      <c r="B407" s="74">
        <v>6</v>
      </c>
      <c r="C407" s="74" t="s">
        <v>344</v>
      </c>
      <c r="D407" s="74" t="s">
        <v>361</v>
      </c>
      <c r="E407" s="74" t="s">
        <v>2500</v>
      </c>
      <c r="F407" s="208"/>
    </row>
    <row r="408" spans="1:6" s="207" customFormat="1" ht="30" x14ac:dyDescent="0.25">
      <c r="A408" s="74">
        <v>405</v>
      </c>
      <c r="B408" s="74">
        <v>7</v>
      </c>
      <c r="C408" s="74" t="s">
        <v>344</v>
      </c>
      <c r="D408" s="74" t="s">
        <v>361</v>
      </c>
      <c r="E408" s="74" t="s">
        <v>2501</v>
      </c>
      <c r="F408" s="208"/>
    </row>
    <row r="409" spans="1:6" s="207" customFormat="1" ht="30" x14ac:dyDescent="0.25">
      <c r="A409" s="74">
        <v>406</v>
      </c>
      <c r="B409" s="74">
        <v>7</v>
      </c>
      <c r="C409" s="74" t="s">
        <v>344</v>
      </c>
      <c r="D409" s="74" t="s">
        <v>361</v>
      </c>
      <c r="E409" s="74" t="s">
        <v>2502</v>
      </c>
      <c r="F409" s="208"/>
    </row>
    <row r="410" spans="1:6" s="207" customFormat="1" ht="15" x14ac:dyDescent="0.25">
      <c r="A410" s="74">
        <v>407</v>
      </c>
      <c r="B410" s="74">
        <v>7</v>
      </c>
      <c r="C410" s="74" t="s">
        <v>344</v>
      </c>
      <c r="D410" s="74" t="s">
        <v>361</v>
      </c>
      <c r="E410" s="74" t="s">
        <v>2388</v>
      </c>
      <c r="F410" s="208"/>
    </row>
    <row r="411" spans="1:6" s="207" customFormat="1" ht="15" x14ac:dyDescent="0.25">
      <c r="A411" s="74">
        <v>408</v>
      </c>
      <c r="B411" s="74">
        <v>7</v>
      </c>
      <c r="C411" s="74" t="s">
        <v>344</v>
      </c>
      <c r="D411" s="74" t="s">
        <v>361</v>
      </c>
      <c r="E411" s="74" t="s">
        <v>1467</v>
      </c>
      <c r="F411" s="208"/>
    </row>
    <row r="412" spans="1:6" s="207" customFormat="1" ht="15" x14ac:dyDescent="0.25">
      <c r="A412" s="74">
        <v>409</v>
      </c>
      <c r="B412" s="74">
        <v>8</v>
      </c>
      <c r="C412" s="74" t="s">
        <v>344</v>
      </c>
      <c r="D412" s="74" t="s">
        <v>361</v>
      </c>
      <c r="E412" s="74" t="s">
        <v>2503</v>
      </c>
      <c r="F412" s="208"/>
    </row>
    <row r="413" spans="1:6" s="207" customFormat="1" ht="45" x14ac:dyDescent="0.25">
      <c r="A413" s="74">
        <v>410</v>
      </c>
      <c r="B413" s="74">
        <v>8</v>
      </c>
      <c r="C413" s="74" t="s">
        <v>344</v>
      </c>
      <c r="D413" s="74" t="s">
        <v>361</v>
      </c>
      <c r="E413" s="74" t="s">
        <v>2504</v>
      </c>
      <c r="F413" s="208"/>
    </row>
    <row r="414" spans="1:6" s="207" customFormat="1" ht="15" x14ac:dyDescent="0.25">
      <c r="A414" s="74">
        <v>411</v>
      </c>
      <c r="B414" s="74">
        <v>8</v>
      </c>
      <c r="C414" s="74" t="s">
        <v>344</v>
      </c>
      <c r="D414" s="74" t="s">
        <v>361</v>
      </c>
      <c r="E414" s="74" t="s">
        <v>2389</v>
      </c>
      <c r="F414" s="208"/>
    </row>
    <row r="415" spans="1:6" s="207" customFormat="1" ht="15" x14ac:dyDescent="0.25">
      <c r="A415" s="74">
        <v>412</v>
      </c>
      <c r="B415" s="74">
        <v>8</v>
      </c>
      <c r="C415" s="74" t="s">
        <v>344</v>
      </c>
      <c r="D415" s="74" t="s">
        <v>361</v>
      </c>
      <c r="E415" s="74" t="s">
        <v>1468</v>
      </c>
      <c r="F415" s="208"/>
    </row>
    <row r="416" spans="1:6" s="207" customFormat="1" ht="15" x14ac:dyDescent="0.25">
      <c r="A416" s="74">
        <v>413</v>
      </c>
      <c r="B416" s="74">
        <v>8</v>
      </c>
      <c r="C416" s="74" t="s">
        <v>344</v>
      </c>
      <c r="D416" s="74" t="s">
        <v>361</v>
      </c>
      <c r="E416" s="74" t="s">
        <v>2390</v>
      </c>
      <c r="F416" s="208"/>
    </row>
    <row r="417" spans="1:6" s="207" customFormat="1" ht="45" x14ac:dyDescent="0.25">
      <c r="A417" s="74">
        <v>414</v>
      </c>
      <c r="B417" s="74">
        <v>9</v>
      </c>
      <c r="C417" s="74" t="s">
        <v>344</v>
      </c>
      <c r="D417" s="74" t="s">
        <v>361</v>
      </c>
      <c r="E417" s="74" t="s">
        <v>2391</v>
      </c>
      <c r="F417" s="208"/>
    </row>
    <row r="418" spans="1:6" s="207" customFormat="1" ht="15" x14ac:dyDescent="0.25">
      <c r="A418" s="74">
        <v>415</v>
      </c>
      <c r="B418" s="74">
        <v>10</v>
      </c>
      <c r="C418" s="74" t="s">
        <v>344</v>
      </c>
      <c r="D418" s="74" t="s">
        <v>361</v>
      </c>
      <c r="E418" s="74" t="s">
        <v>1469</v>
      </c>
      <c r="F418" s="208"/>
    </row>
    <row r="419" spans="1:6" s="207" customFormat="1" ht="15" x14ac:dyDescent="0.25">
      <c r="A419" s="74">
        <v>416</v>
      </c>
      <c r="B419" s="74">
        <v>10</v>
      </c>
      <c r="C419" s="74" t="s">
        <v>344</v>
      </c>
      <c r="D419" s="74" t="s">
        <v>361</v>
      </c>
      <c r="E419" s="74" t="s">
        <v>1470</v>
      </c>
      <c r="F419" s="208"/>
    </row>
    <row r="420" spans="1:6" s="207" customFormat="1" ht="15" x14ac:dyDescent="0.25">
      <c r="A420" s="74">
        <v>417</v>
      </c>
      <c r="B420" s="74">
        <v>10</v>
      </c>
      <c r="C420" s="74" t="s">
        <v>344</v>
      </c>
      <c r="D420" s="74" t="s">
        <v>361</v>
      </c>
      <c r="E420" s="74" t="s">
        <v>1471</v>
      </c>
      <c r="F420" s="208"/>
    </row>
    <row r="421" spans="1:6" s="207" customFormat="1" ht="30" x14ac:dyDescent="0.25">
      <c r="A421" s="74">
        <v>418</v>
      </c>
      <c r="B421" s="74">
        <v>1</v>
      </c>
      <c r="C421" s="74" t="s">
        <v>344</v>
      </c>
      <c r="D421" s="74" t="s">
        <v>375</v>
      </c>
      <c r="E421" s="74" t="s">
        <v>1771</v>
      </c>
      <c r="F421" s="208"/>
    </row>
    <row r="422" spans="1:6" s="207" customFormat="1" ht="15" x14ac:dyDescent="0.25">
      <c r="A422" s="74">
        <v>419</v>
      </c>
      <c r="B422" s="74">
        <v>2</v>
      </c>
      <c r="C422" s="74" t="s">
        <v>344</v>
      </c>
      <c r="D422" s="74" t="s">
        <v>375</v>
      </c>
      <c r="E422" s="74" t="s">
        <v>1772</v>
      </c>
      <c r="F422" s="208"/>
    </row>
    <row r="423" spans="1:6" s="207" customFormat="1" ht="30" x14ac:dyDescent="0.25">
      <c r="A423" s="74">
        <v>420</v>
      </c>
      <c r="B423" s="74">
        <v>3</v>
      </c>
      <c r="C423" s="74" t="s">
        <v>344</v>
      </c>
      <c r="D423" s="74" t="s">
        <v>375</v>
      </c>
      <c r="E423" s="74" t="s">
        <v>1773</v>
      </c>
      <c r="F423" s="208"/>
    </row>
    <row r="424" spans="1:6" s="207" customFormat="1" ht="30" x14ac:dyDescent="0.25">
      <c r="A424" s="74">
        <v>421</v>
      </c>
      <c r="B424" s="74">
        <v>4</v>
      </c>
      <c r="C424" s="74" t="s">
        <v>344</v>
      </c>
      <c r="D424" s="74" t="s">
        <v>375</v>
      </c>
      <c r="E424" s="74" t="s">
        <v>2505</v>
      </c>
      <c r="F424" s="208"/>
    </row>
    <row r="425" spans="1:6" s="207" customFormat="1" ht="30" x14ac:dyDescent="0.25">
      <c r="A425" s="74">
        <v>422</v>
      </c>
      <c r="B425" s="74">
        <v>4</v>
      </c>
      <c r="C425" s="74" t="s">
        <v>344</v>
      </c>
      <c r="D425" s="74" t="s">
        <v>375</v>
      </c>
      <c r="E425" s="74" t="s">
        <v>2506</v>
      </c>
      <c r="F425" s="208"/>
    </row>
    <row r="426" spans="1:6" s="207" customFormat="1" ht="15" x14ac:dyDescent="0.25">
      <c r="A426" s="74">
        <v>423</v>
      </c>
      <c r="B426" s="74">
        <v>5</v>
      </c>
      <c r="C426" s="74" t="s">
        <v>344</v>
      </c>
      <c r="D426" s="74" t="s">
        <v>375</v>
      </c>
      <c r="E426" s="74" t="s">
        <v>2392</v>
      </c>
      <c r="F426" s="208"/>
    </row>
    <row r="427" spans="1:6" s="207" customFormat="1" ht="30" x14ac:dyDescent="0.25">
      <c r="A427" s="74">
        <v>424</v>
      </c>
      <c r="B427" s="74">
        <v>5</v>
      </c>
      <c r="C427" s="74" t="s">
        <v>344</v>
      </c>
      <c r="D427" s="74" t="s">
        <v>375</v>
      </c>
      <c r="E427" s="74" t="s">
        <v>1472</v>
      </c>
      <c r="F427" s="208"/>
    </row>
    <row r="428" spans="1:6" s="207" customFormat="1" ht="30" x14ac:dyDescent="0.25">
      <c r="A428" s="74">
        <v>425</v>
      </c>
      <c r="B428" s="74">
        <v>6</v>
      </c>
      <c r="C428" s="74" t="s">
        <v>344</v>
      </c>
      <c r="D428" s="74" t="s">
        <v>375</v>
      </c>
      <c r="E428" s="74" t="s">
        <v>2393</v>
      </c>
      <c r="F428" s="208"/>
    </row>
    <row r="429" spans="1:6" s="207" customFormat="1" ht="30" x14ac:dyDescent="0.25">
      <c r="A429" s="74">
        <v>426</v>
      </c>
      <c r="B429" s="74">
        <v>6</v>
      </c>
      <c r="C429" s="74" t="s">
        <v>344</v>
      </c>
      <c r="D429" s="74" t="s">
        <v>375</v>
      </c>
      <c r="E429" s="74" t="s">
        <v>2394</v>
      </c>
      <c r="F429" s="208"/>
    </row>
    <row r="430" spans="1:6" s="207" customFormat="1" ht="30" x14ac:dyDescent="0.25">
      <c r="A430" s="74">
        <v>427</v>
      </c>
      <c r="B430" s="74">
        <v>7</v>
      </c>
      <c r="C430" s="74" t="s">
        <v>344</v>
      </c>
      <c r="D430" s="74" t="s">
        <v>375</v>
      </c>
      <c r="E430" s="74" t="s">
        <v>2507</v>
      </c>
      <c r="F430" s="208"/>
    </row>
    <row r="431" spans="1:6" s="207" customFormat="1" ht="30" x14ac:dyDescent="0.25">
      <c r="A431" s="74">
        <v>428</v>
      </c>
      <c r="B431" s="74">
        <v>7</v>
      </c>
      <c r="C431" s="74" t="s">
        <v>344</v>
      </c>
      <c r="D431" s="74" t="s">
        <v>375</v>
      </c>
      <c r="E431" s="74" t="s">
        <v>2395</v>
      </c>
      <c r="F431" s="208"/>
    </row>
    <row r="432" spans="1:6" s="207" customFormat="1" ht="15" x14ac:dyDescent="0.25">
      <c r="A432" s="74">
        <v>429</v>
      </c>
      <c r="B432" s="74">
        <v>7</v>
      </c>
      <c r="C432" s="74" t="s">
        <v>344</v>
      </c>
      <c r="D432" s="74" t="s">
        <v>375</v>
      </c>
      <c r="E432" s="74" t="s">
        <v>1473</v>
      </c>
      <c r="F432" s="208"/>
    </row>
    <row r="433" spans="1:6" s="207" customFormat="1" ht="30" x14ac:dyDescent="0.25">
      <c r="A433" s="74">
        <v>430</v>
      </c>
      <c r="B433" s="74">
        <v>8</v>
      </c>
      <c r="C433" s="74" t="s">
        <v>344</v>
      </c>
      <c r="D433" s="74" t="s">
        <v>375</v>
      </c>
      <c r="E433" s="74" t="s">
        <v>1474</v>
      </c>
      <c r="F433" s="208"/>
    </row>
    <row r="434" spans="1:6" s="207" customFormat="1" ht="15" x14ac:dyDescent="0.25">
      <c r="A434" s="74">
        <v>431</v>
      </c>
      <c r="B434" s="74">
        <v>8</v>
      </c>
      <c r="C434" s="74" t="s">
        <v>344</v>
      </c>
      <c r="D434" s="74" t="s">
        <v>375</v>
      </c>
      <c r="E434" s="74" t="s">
        <v>1475</v>
      </c>
      <c r="F434" s="208"/>
    </row>
    <row r="435" spans="1:6" s="207" customFormat="1" ht="15" x14ac:dyDescent="0.25">
      <c r="A435" s="74">
        <v>432</v>
      </c>
      <c r="B435" s="74">
        <v>8</v>
      </c>
      <c r="C435" s="74" t="s">
        <v>344</v>
      </c>
      <c r="D435" s="74" t="s">
        <v>375</v>
      </c>
      <c r="E435" s="74" t="s">
        <v>1476</v>
      </c>
      <c r="F435" s="208"/>
    </row>
    <row r="436" spans="1:6" s="207" customFormat="1" ht="30" x14ac:dyDescent="0.25">
      <c r="A436" s="74">
        <v>433</v>
      </c>
      <c r="B436" s="74">
        <v>8</v>
      </c>
      <c r="C436" s="74" t="s">
        <v>344</v>
      </c>
      <c r="D436" s="74" t="s">
        <v>375</v>
      </c>
      <c r="E436" s="74" t="s">
        <v>2396</v>
      </c>
      <c r="F436" s="208"/>
    </row>
    <row r="437" spans="1:6" s="207" customFormat="1" ht="15" x14ac:dyDescent="0.25">
      <c r="A437" s="74">
        <v>434</v>
      </c>
      <c r="B437" s="74">
        <v>8</v>
      </c>
      <c r="C437" s="74" t="s">
        <v>344</v>
      </c>
      <c r="D437" s="74" t="s">
        <v>375</v>
      </c>
      <c r="E437" s="74" t="s">
        <v>2508</v>
      </c>
      <c r="F437" s="208"/>
    </row>
    <row r="438" spans="1:6" s="207" customFormat="1" ht="15" x14ac:dyDescent="0.25">
      <c r="A438" s="74">
        <v>435</v>
      </c>
      <c r="B438" s="74">
        <v>8</v>
      </c>
      <c r="C438" s="74" t="s">
        <v>344</v>
      </c>
      <c r="D438" s="74" t="s">
        <v>375</v>
      </c>
      <c r="E438" s="74" t="s">
        <v>1477</v>
      </c>
      <c r="F438" s="208"/>
    </row>
    <row r="439" spans="1:6" s="207" customFormat="1" ht="45" x14ac:dyDescent="0.25">
      <c r="A439" s="74">
        <v>436</v>
      </c>
      <c r="B439" s="74">
        <v>9</v>
      </c>
      <c r="C439" s="74" t="s">
        <v>344</v>
      </c>
      <c r="D439" s="74" t="s">
        <v>375</v>
      </c>
      <c r="E439" s="74" t="s">
        <v>2509</v>
      </c>
      <c r="F439" s="208"/>
    </row>
    <row r="440" spans="1:6" s="207" customFormat="1" ht="30" x14ac:dyDescent="0.25">
      <c r="A440" s="74">
        <v>437</v>
      </c>
      <c r="B440" s="74">
        <v>9</v>
      </c>
      <c r="C440" s="74" t="s">
        <v>344</v>
      </c>
      <c r="D440" s="74" t="s">
        <v>375</v>
      </c>
      <c r="E440" s="74" t="s">
        <v>1478</v>
      </c>
      <c r="F440" s="208"/>
    </row>
    <row r="441" spans="1:6" s="207" customFormat="1" ht="30" x14ac:dyDescent="0.25">
      <c r="A441" s="74">
        <v>438</v>
      </c>
      <c r="B441" s="74">
        <v>9</v>
      </c>
      <c r="C441" s="74" t="s">
        <v>344</v>
      </c>
      <c r="D441" s="74" t="s">
        <v>375</v>
      </c>
      <c r="E441" s="74" t="s">
        <v>1479</v>
      </c>
      <c r="F441" s="208"/>
    </row>
    <row r="442" spans="1:6" s="207" customFormat="1" ht="45" x14ac:dyDescent="0.25">
      <c r="A442" s="74">
        <v>439</v>
      </c>
      <c r="B442" s="74">
        <v>10</v>
      </c>
      <c r="C442" s="74" t="s">
        <v>344</v>
      </c>
      <c r="D442" s="74" t="s">
        <v>375</v>
      </c>
      <c r="E442" s="74" t="s">
        <v>2510</v>
      </c>
      <c r="F442" s="208"/>
    </row>
    <row r="443" spans="1:6" s="207" customFormat="1" ht="30" x14ac:dyDescent="0.25">
      <c r="A443" s="74">
        <v>440</v>
      </c>
      <c r="B443" s="74">
        <v>10</v>
      </c>
      <c r="C443" s="74" t="s">
        <v>344</v>
      </c>
      <c r="D443" s="74" t="s">
        <v>375</v>
      </c>
      <c r="E443" s="74" t="s">
        <v>1480</v>
      </c>
      <c r="F443" s="208"/>
    </row>
    <row r="444" spans="1:6" s="207" customFormat="1" ht="30" x14ac:dyDescent="0.25">
      <c r="A444" s="74">
        <v>441</v>
      </c>
      <c r="B444" s="74">
        <v>10</v>
      </c>
      <c r="C444" s="74" t="s">
        <v>344</v>
      </c>
      <c r="D444" s="74" t="s">
        <v>375</v>
      </c>
      <c r="E444" s="74" t="s">
        <v>1479</v>
      </c>
      <c r="F444" s="208"/>
    </row>
    <row r="445" spans="1:6" s="207" customFormat="1" ht="30" x14ac:dyDescent="0.25">
      <c r="A445" s="74">
        <v>442</v>
      </c>
      <c r="B445" s="74">
        <v>1</v>
      </c>
      <c r="C445" s="74" t="s">
        <v>1250</v>
      </c>
      <c r="D445" s="74" t="s">
        <v>1251</v>
      </c>
      <c r="E445" s="74" t="s">
        <v>1774</v>
      </c>
      <c r="F445" s="208"/>
    </row>
    <row r="446" spans="1:6" s="207" customFormat="1" ht="30" x14ac:dyDescent="0.25">
      <c r="A446" s="74">
        <v>443</v>
      </c>
      <c r="B446" s="74">
        <v>2</v>
      </c>
      <c r="C446" s="74" t="s">
        <v>1250</v>
      </c>
      <c r="D446" s="74" t="s">
        <v>1251</v>
      </c>
      <c r="E446" s="74" t="s">
        <v>1775</v>
      </c>
      <c r="F446" s="208"/>
    </row>
    <row r="447" spans="1:6" s="207" customFormat="1" ht="15" x14ac:dyDescent="0.25">
      <c r="A447" s="74">
        <v>444</v>
      </c>
      <c r="B447" s="74">
        <v>3</v>
      </c>
      <c r="C447" s="74" t="s">
        <v>1250</v>
      </c>
      <c r="D447" s="74" t="s">
        <v>1251</v>
      </c>
      <c r="E447" s="74" t="s">
        <v>1776</v>
      </c>
      <c r="F447" s="208"/>
    </row>
    <row r="448" spans="1:6" s="207" customFormat="1" ht="15" x14ac:dyDescent="0.25">
      <c r="A448" s="74">
        <v>445</v>
      </c>
      <c r="B448" s="74">
        <v>3</v>
      </c>
      <c r="C448" s="74" t="s">
        <v>1250</v>
      </c>
      <c r="D448" s="74" t="s">
        <v>1251</v>
      </c>
      <c r="E448" s="74" t="s">
        <v>1777</v>
      </c>
      <c r="F448" s="208"/>
    </row>
    <row r="449" spans="1:6" s="207" customFormat="1" ht="30" x14ac:dyDescent="0.25">
      <c r="A449" s="74">
        <v>446</v>
      </c>
      <c r="B449" s="74">
        <v>4</v>
      </c>
      <c r="C449" s="74" t="s">
        <v>1250</v>
      </c>
      <c r="D449" s="74" t="s">
        <v>1251</v>
      </c>
      <c r="E449" s="74" t="s">
        <v>1778</v>
      </c>
      <c r="F449" s="208"/>
    </row>
    <row r="450" spans="1:6" s="207" customFormat="1" ht="30" x14ac:dyDescent="0.25">
      <c r="A450" s="74">
        <v>447</v>
      </c>
      <c r="B450" s="74">
        <v>4</v>
      </c>
      <c r="C450" s="74" t="s">
        <v>1250</v>
      </c>
      <c r="D450" s="74" t="s">
        <v>1251</v>
      </c>
      <c r="E450" s="74" t="s">
        <v>1779</v>
      </c>
      <c r="F450" s="208"/>
    </row>
    <row r="451" spans="1:6" s="207" customFormat="1" ht="30" x14ac:dyDescent="0.25">
      <c r="A451" s="74">
        <v>448</v>
      </c>
      <c r="B451" s="74">
        <v>4</v>
      </c>
      <c r="C451" s="74" t="s">
        <v>1250</v>
      </c>
      <c r="D451" s="74" t="s">
        <v>1251</v>
      </c>
      <c r="E451" s="74" t="s">
        <v>1780</v>
      </c>
      <c r="F451" s="208"/>
    </row>
    <row r="452" spans="1:6" s="207" customFormat="1" ht="15" x14ac:dyDescent="0.25">
      <c r="A452" s="74">
        <v>449</v>
      </c>
      <c r="B452" s="74">
        <v>4</v>
      </c>
      <c r="C452" s="74" t="s">
        <v>1250</v>
      </c>
      <c r="D452" s="74" t="s">
        <v>1251</v>
      </c>
      <c r="E452" s="74" t="s">
        <v>2397</v>
      </c>
      <c r="F452" s="208"/>
    </row>
    <row r="453" spans="1:6" s="207" customFormat="1" ht="15" x14ac:dyDescent="0.25">
      <c r="A453" s="74">
        <v>450</v>
      </c>
      <c r="B453" s="74">
        <v>5</v>
      </c>
      <c r="C453" s="74" t="s">
        <v>1250</v>
      </c>
      <c r="D453" s="74" t="s">
        <v>1251</v>
      </c>
      <c r="E453" s="74" t="s">
        <v>1481</v>
      </c>
      <c r="F453" s="208"/>
    </row>
    <row r="454" spans="1:6" s="207" customFormat="1" ht="15" x14ac:dyDescent="0.25">
      <c r="A454" s="74">
        <v>451</v>
      </c>
      <c r="B454" s="74">
        <v>5</v>
      </c>
      <c r="C454" s="74" t="s">
        <v>1250</v>
      </c>
      <c r="D454" s="74" t="s">
        <v>1251</v>
      </c>
      <c r="E454" s="74" t="s">
        <v>1482</v>
      </c>
      <c r="F454" s="208"/>
    </row>
    <row r="455" spans="1:6" s="207" customFormat="1" ht="30" x14ac:dyDescent="0.25">
      <c r="A455" s="74">
        <v>452</v>
      </c>
      <c r="B455" s="74">
        <v>5</v>
      </c>
      <c r="C455" s="74" t="s">
        <v>1250</v>
      </c>
      <c r="D455" s="74" t="s">
        <v>1251</v>
      </c>
      <c r="E455" s="74" t="s">
        <v>2511</v>
      </c>
      <c r="F455" s="208"/>
    </row>
    <row r="456" spans="1:6" s="207" customFormat="1" ht="30" x14ac:dyDescent="0.25">
      <c r="A456" s="74">
        <v>453</v>
      </c>
      <c r="B456" s="74">
        <v>6</v>
      </c>
      <c r="C456" s="74" t="s">
        <v>1250</v>
      </c>
      <c r="D456" s="74" t="s">
        <v>1251</v>
      </c>
      <c r="E456" s="74" t="s">
        <v>2512</v>
      </c>
      <c r="F456" s="208"/>
    </row>
    <row r="457" spans="1:6" s="207" customFormat="1" ht="30" x14ac:dyDescent="0.25">
      <c r="A457" s="74">
        <v>454</v>
      </c>
      <c r="B457" s="74">
        <v>6</v>
      </c>
      <c r="C457" s="74" t="s">
        <v>1250</v>
      </c>
      <c r="D457" s="74" t="s">
        <v>1251</v>
      </c>
      <c r="E457" s="74" t="s">
        <v>2398</v>
      </c>
      <c r="F457" s="208"/>
    </row>
    <row r="458" spans="1:6" s="207" customFormat="1" ht="30" x14ac:dyDescent="0.25">
      <c r="A458" s="74">
        <v>455</v>
      </c>
      <c r="B458" s="74">
        <v>6</v>
      </c>
      <c r="C458" s="74" t="s">
        <v>1250</v>
      </c>
      <c r="D458" s="74" t="s">
        <v>1251</v>
      </c>
      <c r="E458" s="74" t="s">
        <v>2399</v>
      </c>
      <c r="F458" s="208"/>
    </row>
    <row r="459" spans="1:6" s="207" customFormat="1" ht="30" x14ac:dyDescent="0.25">
      <c r="A459" s="74">
        <v>456</v>
      </c>
      <c r="B459" s="74">
        <v>7</v>
      </c>
      <c r="C459" s="74" t="s">
        <v>1250</v>
      </c>
      <c r="D459" s="74" t="s">
        <v>1251</v>
      </c>
      <c r="E459" s="74" t="s">
        <v>2400</v>
      </c>
      <c r="F459" s="208"/>
    </row>
    <row r="460" spans="1:6" s="207" customFormat="1" ht="30" x14ac:dyDescent="0.25">
      <c r="A460" s="74">
        <v>457</v>
      </c>
      <c r="B460" s="74">
        <v>7</v>
      </c>
      <c r="C460" s="74" t="s">
        <v>1250</v>
      </c>
      <c r="D460" s="74" t="s">
        <v>1251</v>
      </c>
      <c r="E460" s="74" t="s">
        <v>2513</v>
      </c>
      <c r="F460" s="208"/>
    </row>
    <row r="461" spans="1:6" s="207" customFormat="1" ht="30" x14ac:dyDescent="0.25">
      <c r="A461" s="74">
        <v>458</v>
      </c>
      <c r="B461" s="74">
        <v>7</v>
      </c>
      <c r="C461" s="74" t="s">
        <v>1250</v>
      </c>
      <c r="D461" s="74" t="s">
        <v>1251</v>
      </c>
      <c r="E461" s="74" t="s">
        <v>2401</v>
      </c>
      <c r="F461" s="208"/>
    </row>
    <row r="462" spans="1:6" s="207" customFormat="1" ht="30" x14ac:dyDescent="0.25">
      <c r="A462" s="74">
        <v>459</v>
      </c>
      <c r="B462" s="74">
        <v>7</v>
      </c>
      <c r="C462" s="74" t="s">
        <v>1250</v>
      </c>
      <c r="D462" s="74" t="s">
        <v>1251</v>
      </c>
      <c r="E462" s="74" t="s">
        <v>2101</v>
      </c>
      <c r="F462" s="208"/>
    </row>
    <row r="463" spans="1:6" s="207" customFormat="1" ht="30" x14ac:dyDescent="0.25">
      <c r="A463" s="74">
        <v>460</v>
      </c>
      <c r="B463" s="74">
        <v>8</v>
      </c>
      <c r="C463" s="74" t="s">
        <v>1250</v>
      </c>
      <c r="D463" s="74" t="s">
        <v>1251</v>
      </c>
      <c r="E463" s="74" t="s">
        <v>2402</v>
      </c>
      <c r="F463" s="208"/>
    </row>
    <row r="464" spans="1:6" s="207" customFormat="1" ht="30" x14ac:dyDescent="0.25">
      <c r="A464" s="74">
        <v>461</v>
      </c>
      <c r="B464" s="74">
        <v>8</v>
      </c>
      <c r="C464" s="74" t="s">
        <v>1250</v>
      </c>
      <c r="D464" s="74" t="s">
        <v>1251</v>
      </c>
      <c r="E464" s="74" t="s">
        <v>2403</v>
      </c>
      <c r="F464" s="208"/>
    </row>
    <row r="465" spans="1:6" s="207" customFormat="1" ht="15" x14ac:dyDescent="0.25">
      <c r="A465" s="74">
        <v>462</v>
      </c>
      <c r="B465" s="74">
        <v>8</v>
      </c>
      <c r="C465" s="74" t="s">
        <v>1250</v>
      </c>
      <c r="D465" s="74" t="s">
        <v>1251</v>
      </c>
      <c r="E465" s="74" t="s">
        <v>1483</v>
      </c>
      <c r="F465" s="208"/>
    </row>
    <row r="466" spans="1:6" s="207" customFormat="1" ht="30" x14ac:dyDescent="0.25">
      <c r="A466" s="74">
        <v>463</v>
      </c>
      <c r="B466" s="74">
        <v>8</v>
      </c>
      <c r="C466" s="74" t="s">
        <v>1250</v>
      </c>
      <c r="D466" s="74" t="s">
        <v>1251</v>
      </c>
      <c r="E466" s="74" t="s">
        <v>2514</v>
      </c>
      <c r="F466" s="208"/>
    </row>
    <row r="467" spans="1:6" s="207" customFormat="1" ht="15" x14ac:dyDescent="0.25">
      <c r="A467" s="74">
        <v>464</v>
      </c>
      <c r="B467" s="74">
        <v>9</v>
      </c>
      <c r="C467" s="74" t="s">
        <v>1250</v>
      </c>
      <c r="D467" s="74" t="s">
        <v>1251</v>
      </c>
      <c r="E467" s="74" t="s">
        <v>2515</v>
      </c>
      <c r="F467" s="208"/>
    </row>
    <row r="468" spans="1:6" s="207" customFormat="1" ht="30" x14ac:dyDescent="0.25">
      <c r="A468" s="74">
        <v>465</v>
      </c>
      <c r="B468" s="74">
        <v>9</v>
      </c>
      <c r="C468" s="74" t="s">
        <v>1250</v>
      </c>
      <c r="D468" s="74" t="s">
        <v>1251</v>
      </c>
      <c r="E468" s="74" t="s">
        <v>1484</v>
      </c>
      <c r="F468" s="208"/>
    </row>
    <row r="469" spans="1:6" s="207" customFormat="1" ht="15" x14ac:dyDescent="0.25">
      <c r="A469" s="74">
        <v>466</v>
      </c>
      <c r="B469" s="74">
        <v>10</v>
      </c>
      <c r="C469" s="74" t="s">
        <v>1250</v>
      </c>
      <c r="D469" s="74" t="s">
        <v>1251</v>
      </c>
      <c r="E469" s="74" t="s">
        <v>1485</v>
      </c>
      <c r="F469" s="208"/>
    </row>
    <row r="470" spans="1:6" s="207" customFormat="1" ht="30" x14ac:dyDescent="0.25">
      <c r="A470" s="74">
        <v>467</v>
      </c>
      <c r="B470" s="74">
        <v>10</v>
      </c>
      <c r="C470" s="74" t="s">
        <v>1250</v>
      </c>
      <c r="D470" s="74" t="s">
        <v>1251</v>
      </c>
      <c r="E470" s="74" t="s">
        <v>1486</v>
      </c>
      <c r="F470" s="208"/>
    </row>
    <row r="471" spans="1:6" s="207" customFormat="1" ht="30" x14ac:dyDescent="0.25">
      <c r="A471" s="74">
        <v>468</v>
      </c>
      <c r="B471" s="74">
        <v>1</v>
      </c>
      <c r="C471" s="74" t="s">
        <v>403</v>
      </c>
      <c r="D471" s="74" t="s">
        <v>946</v>
      </c>
      <c r="E471" s="74" t="s">
        <v>1781</v>
      </c>
      <c r="F471" s="208"/>
    </row>
    <row r="472" spans="1:6" s="207" customFormat="1" ht="30" x14ac:dyDescent="0.25">
      <c r="A472" s="74">
        <v>469</v>
      </c>
      <c r="B472" s="74">
        <v>2</v>
      </c>
      <c r="C472" s="74" t="s">
        <v>403</v>
      </c>
      <c r="D472" s="74" t="s">
        <v>946</v>
      </c>
      <c r="E472" s="74" t="s">
        <v>1782</v>
      </c>
      <c r="F472" s="208"/>
    </row>
    <row r="473" spans="1:6" s="207" customFormat="1" ht="30" x14ac:dyDescent="0.25">
      <c r="A473" s="74">
        <v>470</v>
      </c>
      <c r="B473" s="74">
        <v>3</v>
      </c>
      <c r="C473" s="74" t="s">
        <v>403</v>
      </c>
      <c r="D473" s="74" t="s">
        <v>946</v>
      </c>
      <c r="E473" s="74" t="s">
        <v>1783</v>
      </c>
      <c r="F473" s="208"/>
    </row>
    <row r="474" spans="1:6" s="207" customFormat="1" ht="30" x14ac:dyDescent="0.25">
      <c r="A474" s="74">
        <v>471</v>
      </c>
      <c r="B474" s="74">
        <v>3</v>
      </c>
      <c r="C474" s="74" t="s">
        <v>403</v>
      </c>
      <c r="D474" s="74" t="s">
        <v>946</v>
      </c>
      <c r="E474" s="74" t="s">
        <v>1784</v>
      </c>
      <c r="F474" s="208"/>
    </row>
    <row r="475" spans="1:6" s="207" customFormat="1" ht="30" x14ac:dyDescent="0.25">
      <c r="A475" s="74">
        <v>472</v>
      </c>
      <c r="B475" s="74">
        <v>4</v>
      </c>
      <c r="C475" s="74" t="s">
        <v>403</v>
      </c>
      <c r="D475" s="74" t="s">
        <v>946</v>
      </c>
      <c r="E475" s="74" t="s">
        <v>1785</v>
      </c>
      <c r="F475" s="208"/>
    </row>
    <row r="476" spans="1:6" s="207" customFormat="1" ht="30" x14ac:dyDescent="0.25">
      <c r="A476" s="74">
        <v>473</v>
      </c>
      <c r="B476" s="74">
        <v>5</v>
      </c>
      <c r="C476" s="74" t="s">
        <v>403</v>
      </c>
      <c r="D476" s="74" t="s">
        <v>946</v>
      </c>
      <c r="E476" s="74" t="s">
        <v>1487</v>
      </c>
      <c r="F476" s="208"/>
    </row>
    <row r="477" spans="1:6" s="207" customFormat="1" ht="30" x14ac:dyDescent="0.25">
      <c r="A477" s="74">
        <v>474</v>
      </c>
      <c r="B477" s="74">
        <v>5</v>
      </c>
      <c r="C477" s="74" t="s">
        <v>403</v>
      </c>
      <c r="D477" s="74" t="s">
        <v>946</v>
      </c>
      <c r="E477" s="74" t="s">
        <v>1488</v>
      </c>
      <c r="F477" s="208"/>
    </row>
    <row r="478" spans="1:6" s="207" customFormat="1" ht="30" x14ac:dyDescent="0.25">
      <c r="A478" s="74">
        <v>475</v>
      </c>
      <c r="B478" s="74">
        <v>5</v>
      </c>
      <c r="C478" s="74" t="s">
        <v>403</v>
      </c>
      <c r="D478" s="74" t="s">
        <v>946</v>
      </c>
      <c r="E478" s="74" t="s">
        <v>1489</v>
      </c>
      <c r="F478" s="208"/>
    </row>
    <row r="479" spans="1:6" s="207" customFormat="1" ht="30" x14ac:dyDescent="0.25">
      <c r="A479" s="74">
        <v>476</v>
      </c>
      <c r="B479" s="74">
        <v>6</v>
      </c>
      <c r="C479" s="74" t="s">
        <v>403</v>
      </c>
      <c r="D479" s="74" t="s">
        <v>946</v>
      </c>
      <c r="E479" s="74" t="s">
        <v>2516</v>
      </c>
      <c r="F479" s="208"/>
    </row>
    <row r="480" spans="1:6" s="207" customFormat="1" ht="30" x14ac:dyDescent="0.25">
      <c r="A480" s="74">
        <v>477</v>
      </c>
      <c r="B480" s="74">
        <v>6</v>
      </c>
      <c r="C480" s="74" t="s">
        <v>403</v>
      </c>
      <c r="D480" s="74" t="s">
        <v>946</v>
      </c>
      <c r="E480" s="74" t="s">
        <v>2517</v>
      </c>
      <c r="F480" s="208"/>
    </row>
    <row r="481" spans="1:6" s="207" customFormat="1" ht="30" x14ac:dyDescent="0.25">
      <c r="A481" s="74">
        <v>478</v>
      </c>
      <c r="B481" s="74">
        <v>7</v>
      </c>
      <c r="C481" s="74" t="s">
        <v>403</v>
      </c>
      <c r="D481" s="74" t="s">
        <v>946</v>
      </c>
      <c r="E481" s="74" t="s">
        <v>1490</v>
      </c>
      <c r="F481" s="208"/>
    </row>
    <row r="482" spans="1:6" s="207" customFormat="1" ht="30" x14ac:dyDescent="0.25">
      <c r="A482" s="74">
        <v>479</v>
      </c>
      <c r="B482" s="74">
        <v>7</v>
      </c>
      <c r="C482" s="74" t="s">
        <v>403</v>
      </c>
      <c r="D482" s="74" t="s">
        <v>946</v>
      </c>
      <c r="E482" s="74" t="s">
        <v>1491</v>
      </c>
      <c r="F482" s="208"/>
    </row>
    <row r="483" spans="1:6" s="207" customFormat="1" ht="30" x14ac:dyDescent="0.25">
      <c r="A483" s="74">
        <v>480</v>
      </c>
      <c r="B483" s="74">
        <v>7</v>
      </c>
      <c r="C483" s="74" t="s">
        <v>403</v>
      </c>
      <c r="D483" s="74" t="s">
        <v>946</v>
      </c>
      <c r="E483" s="74" t="s">
        <v>2518</v>
      </c>
      <c r="F483" s="208"/>
    </row>
    <row r="484" spans="1:6" s="207" customFormat="1" ht="30" x14ac:dyDescent="0.25">
      <c r="A484" s="74">
        <v>481</v>
      </c>
      <c r="B484" s="74">
        <v>8</v>
      </c>
      <c r="C484" s="74" t="s">
        <v>403</v>
      </c>
      <c r="D484" s="74" t="s">
        <v>946</v>
      </c>
      <c r="E484" s="74" t="s">
        <v>954</v>
      </c>
      <c r="F484" s="208"/>
    </row>
    <row r="485" spans="1:6" s="207" customFormat="1" ht="30" x14ac:dyDescent="0.25">
      <c r="A485" s="74">
        <v>482</v>
      </c>
      <c r="B485" s="74">
        <v>8</v>
      </c>
      <c r="C485" s="74" t="s">
        <v>403</v>
      </c>
      <c r="D485" s="74" t="s">
        <v>946</v>
      </c>
      <c r="E485" s="74" t="s">
        <v>2519</v>
      </c>
      <c r="F485" s="208"/>
    </row>
    <row r="486" spans="1:6" s="207" customFormat="1" ht="45" x14ac:dyDescent="0.25">
      <c r="A486" s="74">
        <v>483</v>
      </c>
      <c r="B486" s="74">
        <v>8</v>
      </c>
      <c r="C486" s="74" t="s">
        <v>403</v>
      </c>
      <c r="D486" s="74" t="s">
        <v>946</v>
      </c>
      <c r="E486" s="74" t="s">
        <v>2520</v>
      </c>
      <c r="F486" s="208"/>
    </row>
    <row r="487" spans="1:6" s="207" customFormat="1" ht="45" x14ac:dyDescent="0.25">
      <c r="A487" s="74">
        <v>484</v>
      </c>
      <c r="B487" s="74">
        <v>8</v>
      </c>
      <c r="C487" s="74" t="s">
        <v>403</v>
      </c>
      <c r="D487" s="74" t="s">
        <v>946</v>
      </c>
      <c r="E487" s="74" t="s">
        <v>1492</v>
      </c>
      <c r="F487" s="208"/>
    </row>
    <row r="488" spans="1:6" s="207" customFormat="1" ht="45" x14ac:dyDescent="0.25">
      <c r="A488" s="74">
        <v>485</v>
      </c>
      <c r="B488" s="74">
        <v>8</v>
      </c>
      <c r="C488" s="74" t="s">
        <v>403</v>
      </c>
      <c r="D488" s="74" t="s">
        <v>946</v>
      </c>
      <c r="E488" s="74" t="s">
        <v>1260</v>
      </c>
      <c r="F488" s="208"/>
    </row>
    <row r="489" spans="1:6" s="207" customFormat="1" ht="30" x14ac:dyDescent="0.25">
      <c r="A489" s="74">
        <v>486</v>
      </c>
      <c r="B489" s="74">
        <v>9</v>
      </c>
      <c r="C489" s="74" t="s">
        <v>403</v>
      </c>
      <c r="D489" s="74" t="s">
        <v>946</v>
      </c>
      <c r="E489" s="74" t="s">
        <v>2404</v>
      </c>
      <c r="F489" s="208"/>
    </row>
    <row r="490" spans="1:6" s="207" customFormat="1" ht="30" x14ac:dyDescent="0.25">
      <c r="A490" s="74">
        <v>487</v>
      </c>
      <c r="B490" s="74">
        <v>9</v>
      </c>
      <c r="C490" s="74" t="s">
        <v>403</v>
      </c>
      <c r="D490" s="74" t="s">
        <v>946</v>
      </c>
      <c r="E490" s="74" t="s">
        <v>2405</v>
      </c>
      <c r="F490" s="208"/>
    </row>
    <row r="491" spans="1:6" s="207" customFormat="1" ht="45" x14ac:dyDescent="0.25">
      <c r="A491" s="74">
        <v>488</v>
      </c>
      <c r="B491" s="74">
        <v>9</v>
      </c>
      <c r="C491" s="74" t="s">
        <v>403</v>
      </c>
      <c r="D491" s="74" t="s">
        <v>946</v>
      </c>
      <c r="E491" s="74" t="s">
        <v>2406</v>
      </c>
      <c r="F491" s="208"/>
    </row>
    <row r="492" spans="1:6" s="207" customFormat="1" ht="30" x14ac:dyDescent="0.25">
      <c r="A492" s="74">
        <v>489</v>
      </c>
      <c r="B492" s="74">
        <v>9</v>
      </c>
      <c r="C492" s="74" t="s">
        <v>403</v>
      </c>
      <c r="D492" s="74" t="s">
        <v>946</v>
      </c>
      <c r="E492" s="74" t="s">
        <v>2407</v>
      </c>
      <c r="F492" s="208"/>
    </row>
    <row r="493" spans="1:6" s="207" customFormat="1" ht="30" x14ac:dyDescent="0.25">
      <c r="A493" s="74">
        <v>490</v>
      </c>
      <c r="B493" s="74">
        <v>10</v>
      </c>
      <c r="C493" s="74" t="s">
        <v>403</v>
      </c>
      <c r="D493" s="74" t="s">
        <v>946</v>
      </c>
      <c r="E493" s="74" t="s">
        <v>2521</v>
      </c>
      <c r="F493" s="208"/>
    </row>
    <row r="494" spans="1:6" s="207" customFormat="1" ht="30" x14ac:dyDescent="0.25">
      <c r="A494" s="74">
        <v>491</v>
      </c>
      <c r="B494" s="74">
        <v>10</v>
      </c>
      <c r="C494" s="74" t="s">
        <v>403</v>
      </c>
      <c r="D494" s="74" t="s">
        <v>946</v>
      </c>
      <c r="E494" s="74" t="s">
        <v>961</v>
      </c>
      <c r="F494" s="208"/>
    </row>
    <row r="495" spans="1:6" s="207" customFormat="1" ht="30" x14ac:dyDescent="0.25">
      <c r="A495" s="74">
        <v>492</v>
      </c>
      <c r="B495" s="74">
        <v>10</v>
      </c>
      <c r="C495" s="74" t="s">
        <v>403</v>
      </c>
      <c r="D495" s="74" t="s">
        <v>946</v>
      </c>
      <c r="E495" s="74" t="s">
        <v>1493</v>
      </c>
      <c r="F495" s="208"/>
    </row>
    <row r="496" spans="1:6" s="207" customFormat="1" ht="15" x14ac:dyDescent="0.25">
      <c r="A496" s="74">
        <v>493</v>
      </c>
      <c r="B496" s="74">
        <v>1</v>
      </c>
      <c r="C496" s="74" t="s">
        <v>403</v>
      </c>
      <c r="D496" s="74" t="s">
        <v>420</v>
      </c>
      <c r="E496" s="74" t="s">
        <v>1786</v>
      </c>
      <c r="F496" s="208"/>
    </row>
    <row r="497" spans="1:7" s="207" customFormat="1" ht="15" x14ac:dyDescent="0.25">
      <c r="A497" s="74">
        <v>494</v>
      </c>
      <c r="B497" s="74">
        <v>2</v>
      </c>
      <c r="C497" s="74" t="s">
        <v>403</v>
      </c>
      <c r="D497" s="74" t="s">
        <v>420</v>
      </c>
      <c r="E497" s="74" t="s">
        <v>1787</v>
      </c>
      <c r="F497" s="208"/>
    </row>
    <row r="498" spans="1:7" s="207" customFormat="1" ht="30" x14ac:dyDescent="0.25">
      <c r="A498" s="74">
        <v>495</v>
      </c>
      <c r="B498" s="74">
        <v>3</v>
      </c>
      <c r="C498" s="74" t="s">
        <v>403</v>
      </c>
      <c r="D498" s="74" t="s">
        <v>420</v>
      </c>
      <c r="E498" s="74" t="s">
        <v>2522</v>
      </c>
      <c r="F498" s="208"/>
    </row>
    <row r="499" spans="1:7" s="207" customFormat="1" ht="30" x14ac:dyDescent="0.25">
      <c r="A499" s="74">
        <v>496</v>
      </c>
      <c r="B499" s="74">
        <v>4</v>
      </c>
      <c r="C499" s="74" t="s">
        <v>403</v>
      </c>
      <c r="D499" s="74" t="s">
        <v>420</v>
      </c>
      <c r="E499" s="74" t="s">
        <v>2523</v>
      </c>
      <c r="F499" s="208"/>
    </row>
    <row r="500" spans="1:7" s="207" customFormat="1" ht="30" x14ac:dyDescent="0.25">
      <c r="A500" s="74">
        <v>497</v>
      </c>
      <c r="B500" s="74">
        <v>4</v>
      </c>
      <c r="C500" s="74" t="s">
        <v>403</v>
      </c>
      <c r="D500" s="74" t="s">
        <v>420</v>
      </c>
      <c r="E500" s="74" t="s">
        <v>2524</v>
      </c>
      <c r="F500" s="208"/>
    </row>
    <row r="501" spans="1:7" s="212" customFormat="1" ht="45" x14ac:dyDescent="0.25">
      <c r="A501" s="74">
        <v>498</v>
      </c>
      <c r="B501" s="74">
        <v>4</v>
      </c>
      <c r="C501" s="74" t="s">
        <v>403</v>
      </c>
      <c r="D501" s="74" t="s">
        <v>420</v>
      </c>
      <c r="E501" s="74" t="s">
        <v>2525</v>
      </c>
      <c r="F501" s="208"/>
      <c r="G501" s="207"/>
    </row>
    <row r="502" spans="1:7" s="207" customFormat="1" ht="30" x14ac:dyDescent="0.25">
      <c r="A502" s="74">
        <v>499</v>
      </c>
      <c r="B502" s="74">
        <v>4</v>
      </c>
      <c r="C502" s="74" t="s">
        <v>403</v>
      </c>
      <c r="D502" s="74" t="s">
        <v>420</v>
      </c>
      <c r="E502" s="74" t="s">
        <v>1494</v>
      </c>
      <c r="F502" s="208"/>
    </row>
    <row r="503" spans="1:7" s="207" customFormat="1" ht="30" x14ac:dyDescent="0.25">
      <c r="A503" s="74">
        <v>500</v>
      </c>
      <c r="B503" s="74">
        <v>5</v>
      </c>
      <c r="C503" s="74" t="s">
        <v>403</v>
      </c>
      <c r="D503" s="74" t="s">
        <v>420</v>
      </c>
      <c r="E503" s="74" t="s">
        <v>1495</v>
      </c>
      <c r="F503" s="208"/>
    </row>
    <row r="504" spans="1:7" s="207" customFormat="1" ht="15" x14ac:dyDescent="0.25">
      <c r="A504" s="74">
        <v>501</v>
      </c>
      <c r="B504" s="74">
        <v>5</v>
      </c>
      <c r="C504" s="74" t="s">
        <v>403</v>
      </c>
      <c r="D504" s="74" t="s">
        <v>420</v>
      </c>
      <c r="E504" s="74" t="s">
        <v>1496</v>
      </c>
      <c r="F504" s="208"/>
    </row>
    <row r="505" spans="1:7" s="207" customFormat="1" ht="30" x14ac:dyDescent="0.25">
      <c r="A505" s="74">
        <v>502</v>
      </c>
      <c r="B505" s="74">
        <v>5</v>
      </c>
      <c r="C505" s="74" t="s">
        <v>403</v>
      </c>
      <c r="D505" s="74" t="s">
        <v>420</v>
      </c>
      <c r="E505" s="74" t="s">
        <v>1497</v>
      </c>
      <c r="F505" s="208"/>
    </row>
    <row r="506" spans="1:7" s="207" customFormat="1" ht="15" x14ac:dyDescent="0.25">
      <c r="A506" s="74">
        <v>503</v>
      </c>
      <c r="B506" s="74">
        <v>6</v>
      </c>
      <c r="C506" s="74" t="s">
        <v>403</v>
      </c>
      <c r="D506" s="74" t="s">
        <v>420</v>
      </c>
      <c r="E506" s="74" t="s">
        <v>1498</v>
      </c>
      <c r="F506" s="208"/>
    </row>
    <row r="507" spans="1:7" s="207" customFormat="1" ht="15" x14ac:dyDescent="0.25">
      <c r="A507" s="74">
        <v>504</v>
      </c>
      <c r="B507" s="74">
        <v>6</v>
      </c>
      <c r="C507" s="74" t="s">
        <v>403</v>
      </c>
      <c r="D507" s="74" t="s">
        <v>420</v>
      </c>
      <c r="E507" s="74" t="s">
        <v>1499</v>
      </c>
      <c r="F507" s="208"/>
    </row>
    <row r="508" spans="1:7" s="207" customFormat="1" ht="45" x14ac:dyDescent="0.25">
      <c r="A508" s="74">
        <v>505</v>
      </c>
      <c r="B508" s="74">
        <v>6</v>
      </c>
      <c r="C508" s="74" t="s">
        <v>403</v>
      </c>
      <c r="D508" s="74" t="s">
        <v>420</v>
      </c>
      <c r="E508" s="74" t="s">
        <v>2526</v>
      </c>
      <c r="F508" s="208"/>
    </row>
    <row r="509" spans="1:7" s="207" customFormat="1" ht="30" x14ac:dyDescent="0.25">
      <c r="A509" s="74">
        <v>506</v>
      </c>
      <c r="B509" s="74">
        <v>6</v>
      </c>
      <c r="C509" s="74" t="s">
        <v>403</v>
      </c>
      <c r="D509" s="74" t="s">
        <v>420</v>
      </c>
      <c r="E509" s="74" t="s">
        <v>2527</v>
      </c>
      <c r="F509" s="208"/>
      <c r="G509" s="212"/>
    </row>
    <row r="510" spans="1:7" s="211" customFormat="1" ht="15" x14ac:dyDescent="0.25">
      <c r="A510" s="74">
        <v>507</v>
      </c>
      <c r="B510" s="74">
        <v>7</v>
      </c>
      <c r="C510" s="74" t="s">
        <v>403</v>
      </c>
      <c r="D510" s="74" t="s">
        <v>420</v>
      </c>
      <c r="E510" s="74" t="s">
        <v>2408</v>
      </c>
      <c r="G510" s="207"/>
    </row>
    <row r="511" spans="1:7" s="211" customFormat="1" ht="30" x14ac:dyDescent="0.25">
      <c r="A511" s="74">
        <v>508</v>
      </c>
      <c r="B511" s="74">
        <v>7</v>
      </c>
      <c r="C511" s="74" t="s">
        <v>403</v>
      </c>
      <c r="D511" s="74" t="s">
        <v>420</v>
      </c>
      <c r="E511" s="74" t="s">
        <v>2409</v>
      </c>
      <c r="G511" s="207"/>
    </row>
    <row r="512" spans="1:7" s="211" customFormat="1" ht="45" x14ac:dyDescent="0.25">
      <c r="A512" s="74">
        <v>509</v>
      </c>
      <c r="B512" s="74">
        <v>7</v>
      </c>
      <c r="C512" s="74" t="s">
        <v>403</v>
      </c>
      <c r="D512" s="74" t="s">
        <v>420</v>
      </c>
      <c r="E512" s="74" t="s">
        <v>2410</v>
      </c>
      <c r="G512" s="207"/>
    </row>
    <row r="513" spans="1:7" s="211" customFormat="1" ht="30" x14ac:dyDescent="0.25">
      <c r="A513" s="74">
        <v>510</v>
      </c>
      <c r="B513" s="74">
        <v>7</v>
      </c>
      <c r="C513" s="74" t="s">
        <v>403</v>
      </c>
      <c r="D513" s="74" t="s">
        <v>420</v>
      </c>
      <c r="E513" s="74" t="s">
        <v>2411</v>
      </c>
      <c r="G513" s="207"/>
    </row>
    <row r="514" spans="1:7" s="211" customFormat="1" ht="15" x14ac:dyDescent="0.25">
      <c r="A514" s="74">
        <v>511</v>
      </c>
      <c r="B514" s="74">
        <v>8</v>
      </c>
      <c r="C514" s="74" t="s">
        <v>403</v>
      </c>
      <c r="D514" s="74" t="s">
        <v>420</v>
      </c>
      <c r="E514" s="74" t="s">
        <v>1500</v>
      </c>
      <c r="G514" s="207"/>
    </row>
    <row r="515" spans="1:7" s="211" customFormat="1" ht="30" x14ac:dyDescent="0.25">
      <c r="A515" s="74">
        <v>512</v>
      </c>
      <c r="B515" s="74">
        <v>8</v>
      </c>
      <c r="C515" s="74" t="s">
        <v>403</v>
      </c>
      <c r="D515" s="74" t="s">
        <v>420</v>
      </c>
      <c r="E515" s="74" t="s">
        <v>2412</v>
      </c>
      <c r="G515" s="207"/>
    </row>
    <row r="516" spans="1:7" s="211" customFormat="1" ht="15" x14ac:dyDescent="0.25">
      <c r="A516" s="74">
        <v>513</v>
      </c>
      <c r="B516" s="74">
        <v>8</v>
      </c>
      <c r="C516" s="74" t="s">
        <v>403</v>
      </c>
      <c r="D516" s="74" t="s">
        <v>420</v>
      </c>
      <c r="E516" s="74" t="s">
        <v>2413</v>
      </c>
      <c r="G516" s="207"/>
    </row>
    <row r="517" spans="1:7" s="211" customFormat="1" ht="15" x14ac:dyDescent="0.25">
      <c r="A517" s="74">
        <v>514</v>
      </c>
      <c r="B517" s="74">
        <v>8</v>
      </c>
      <c r="C517" s="74" t="s">
        <v>403</v>
      </c>
      <c r="D517" s="74" t="s">
        <v>420</v>
      </c>
      <c r="E517" s="74" t="s">
        <v>1501</v>
      </c>
      <c r="G517" s="207"/>
    </row>
    <row r="518" spans="1:7" s="211" customFormat="1" ht="30" x14ac:dyDescent="0.25">
      <c r="A518" s="74">
        <v>515</v>
      </c>
      <c r="B518" s="74">
        <v>8</v>
      </c>
      <c r="C518" s="74" t="s">
        <v>403</v>
      </c>
      <c r="D518" s="74" t="s">
        <v>420</v>
      </c>
      <c r="E518" s="74" t="s">
        <v>1502</v>
      </c>
      <c r="G518" s="207"/>
    </row>
    <row r="519" spans="1:7" s="211" customFormat="1" ht="30" x14ac:dyDescent="0.25">
      <c r="A519" s="74">
        <v>516</v>
      </c>
      <c r="B519" s="74">
        <v>8</v>
      </c>
      <c r="C519" s="74" t="s">
        <v>403</v>
      </c>
      <c r="D519" s="74" t="s">
        <v>420</v>
      </c>
      <c r="E519" s="74" t="s">
        <v>1503</v>
      </c>
      <c r="G519" s="207"/>
    </row>
    <row r="520" spans="1:7" s="211" customFormat="1" ht="15" x14ac:dyDescent="0.25">
      <c r="A520" s="74">
        <v>517</v>
      </c>
      <c r="B520" s="74">
        <v>9</v>
      </c>
      <c r="C520" s="74" t="s">
        <v>403</v>
      </c>
      <c r="D520" s="74" t="s">
        <v>420</v>
      </c>
      <c r="E520" s="74" t="s">
        <v>2528</v>
      </c>
      <c r="G520" s="207"/>
    </row>
    <row r="521" spans="1:7" s="211" customFormat="1" ht="30" x14ac:dyDescent="0.25">
      <c r="A521" s="74">
        <v>518</v>
      </c>
      <c r="B521" s="74">
        <v>9</v>
      </c>
      <c r="C521" s="74" t="s">
        <v>403</v>
      </c>
      <c r="D521" s="74" t="s">
        <v>420</v>
      </c>
      <c r="E521" s="74" t="s">
        <v>2529</v>
      </c>
      <c r="G521" s="207"/>
    </row>
    <row r="522" spans="1:7" s="211" customFormat="1" ht="30" x14ac:dyDescent="0.25">
      <c r="A522" s="74">
        <v>519</v>
      </c>
      <c r="B522" s="74">
        <v>9</v>
      </c>
      <c r="C522" s="74" t="s">
        <v>403</v>
      </c>
      <c r="D522" s="74" t="s">
        <v>420</v>
      </c>
      <c r="E522" s="74" t="s">
        <v>1504</v>
      </c>
      <c r="G522" s="207"/>
    </row>
    <row r="523" spans="1:7" s="211" customFormat="1" ht="30" x14ac:dyDescent="0.25">
      <c r="A523" s="74">
        <v>520</v>
      </c>
      <c r="B523" s="74">
        <v>9</v>
      </c>
      <c r="C523" s="74" t="s">
        <v>403</v>
      </c>
      <c r="D523" s="74" t="s">
        <v>420</v>
      </c>
      <c r="E523" s="74" t="s">
        <v>1505</v>
      </c>
      <c r="G523" s="207"/>
    </row>
    <row r="524" spans="1:7" s="211" customFormat="1" ht="15" x14ac:dyDescent="0.25">
      <c r="A524" s="74">
        <v>521</v>
      </c>
      <c r="B524" s="74">
        <v>10</v>
      </c>
      <c r="C524" s="74" t="s">
        <v>403</v>
      </c>
      <c r="D524" s="74" t="s">
        <v>420</v>
      </c>
      <c r="E524" s="74" t="s">
        <v>2414</v>
      </c>
      <c r="G524" s="207"/>
    </row>
    <row r="525" spans="1:7" s="211" customFormat="1" ht="30" x14ac:dyDescent="0.25">
      <c r="A525" s="74">
        <v>522</v>
      </c>
      <c r="B525" s="74">
        <v>10</v>
      </c>
      <c r="C525" s="74" t="s">
        <v>403</v>
      </c>
      <c r="D525" s="74" t="s">
        <v>420</v>
      </c>
      <c r="E525" s="74" t="s">
        <v>2415</v>
      </c>
      <c r="G525" s="207"/>
    </row>
    <row r="526" spans="1:7" s="211" customFormat="1" ht="30" x14ac:dyDescent="0.25">
      <c r="A526" s="74">
        <v>523</v>
      </c>
      <c r="B526" s="74">
        <v>10</v>
      </c>
      <c r="C526" s="74" t="s">
        <v>403</v>
      </c>
      <c r="D526" s="74" t="s">
        <v>420</v>
      </c>
      <c r="E526" s="74" t="s">
        <v>1506</v>
      </c>
      <c r="G526" s="207"/>
    </row>
    <row r="527" spans="1:7" s="211" customFormat="1" ht="30" x14ac:dyDescent="0.25">
      <c r="A527" s="74">
        <v>524</v>
      </c>
      <c r="B527" s="74">
        <v>10</v>
      </c>
      <c r="C527" s="74" t="s">
        <v>403</v>
      </c>
      <c r="D527" s="74" t="s">
        <v>420</v>
      </c>
      <c r="E527" s="74" t="s">
        <v>1507</v>
      </c>
      <c r="G527" s="207"/>
    </row>
    <row r="528" spans="1:7" s="211" customFormat="1" ht="30" x14ac:dyDescent="0.25">
      <c r="A528" s="74">
        <v>525</v>
      </c>
      <c r="B528" s="74">
        <v>1</v>
      </c>
      <c r="C528" s="74" t="s">
        <v>1027</v>
      </c>
      <c r="D528" s="74" t="s">
        <v>1252</v>
      </c>
      <c r="E528" s="74" t="s">
        <v>1788</v>
      </c>
      <c r="G528" s="207"/>
    </row>
    <row r="529" spans="1:6" s="207" customFormat="1" ht="30" x14ac:dyDescent="0.25">
      <c r="A529" s="74">
        <v>526</v>
      </c>
      <c r="B529" s="74">
        <v>2</v>
      </c>
      <c r="C529" s="74" t="s">
        <v>1027</v>
      </c>
      <c r="D529" s="74" t="s">
        <v>1252</v>
      </c>
      <c r="E529" s="74" t="s">
        <v>1789</v>
      </c>
      <c r="F529" s="211"/>
    </row>
    <row r="530" spans="1:6" s="207" customFormat="1" ht="30" x14ac:dyDescent="0.25">
      <c r="A530" s="74">
        <v>527</v>
      </c>
      <c r="B530" s="74">
        <v>3</v>
      </c>
      <c r="C530" s="74" t="s">
        <v>1027</v>
      </c>
      <c r="D530" s="74" t="s">
        <v>1252</v>
      </c>
      <c r="E530" s="74" t="s">
        <v>1790</v>
      </c>
      <c r="F530" s="211"/>
    </row>
    <row r="531" spans="1:6" s="207" customFormat="1" ht="30" x14ac:dyDescent="0.25">
      <c r="A531" s="74">
        <v>528</v>
      </c>
      <c r="B531" s="74">
        <v>4</v>
      </c>
      <c r="C531" s="74" t="s">
        <v>1027</v>
      </c>
      <c r="D531" s="74" t="s">
        <v>1252</v>
      </c>
      <c r="E531" s="74" t="s">
        <v>1791</v>
      </c>
      <c r="F531" s="211"/>
    </row>
    <row r="532" spans="1:6" s="207" customFormat="1" ht="30" x14ac:dyDescent="0.25">
      <c r="A532" s="74">
        <v>529</v>
      </c>
      <c r="B532" s="74">
        <v>4</v>
      </c>
      <c r="C532" s="74" t="s">
        <v>1027</v>
      </c>
      <c r="D532" s="74" t="s">
        <v>1252</v>
      </c>
      <c r="E532" s="74" t="s">
        <v>1792</v>
      </c>
      <c r="F532" s="211"/>
    </row>
    <row r="533" spans="1:6" s="207" customFormat="1" ht="30" x14ac:dyDescent="0.25">
      <c r="A533" s="74">
        <v>530</v>
      </c>
      <c r="B533" s="74">
        <v>4</v>
      </c>
      <c r="C533" s="74" t="s">
        <v>1027</v>
      </c>
      <c r="D533" s="74" t="s">
        <v>1252</v>
      </c>
      <c r="E533" s="74" t="s">
        <v>1793</v>
      </c>
      <c r="F533" s="211"/>
    </row>
    <row r="534" spans="1:6" s="207" customFormat="1" ht="15" x14ac:dyDescent="0.25">
      <c r="A534" s="74">
        <v>531</v>
      </c>
      <c r="B534" s="74">
        <v>4</v>
      </c>
      <c r="C534" s="74" t="s">
        <v>1027</v>
      </c>
      <c r="D534" s="74" t="s">
        <v>1252</v>
      </c>
      <c r="E534" s="74" t="s">
        <v>1794</v>
      </c>
      <c r="F534" s="211"/>
    </row>
    <row r="535" spans="1:6" s="207" customFormat="1" ht="15" x14ac:dyDescent="0.25">
      <c r="A535" s="74">
        <v>532</v>
      </c>
      <c r="B535" s="74">
        <v>5</v>
      </c>
      <c r="C535" s="74" t="s">
        <v>1027</v>
      </c>
      <c r="D535" s="74" t="s">
        <v>1252</v>
      </c>
      <c r="E535" s="74" t="s">
        <v>1508</v>
      </c>
      <c r="F535" s="211"/>
    </row>
    <row r="536" spans="1:6" s="207" customFormat="1" ht="30" x14ac:dyDescent="0.25">
      <c r="A536" s="74">
        <v>533</v>
      </c>
      <c r="B536" s="74">
        <v>5</v>
      </c>
      <c r="C536" s="74" t="s">
        <v>1027</v>
      </c>
      <c r="D536" s="74" t="s">
        <v>1252</v>
      </c>
      <c r="E536" s="74" t="s">
        <v>2416</v>
      </c>
      <c r="F536" s="211"/>
    </row>
    <row r="537" spans="1:6" s="207" customFormat="1" ht="30" x14ac:dyDescent="0.25">
      <c r="A537" s="74">
        <v>534</v>
      </c>
      <c r="B537" s="74">
        <v>6</v>
      </c>
      <c r="C537" s="74" t="s">
        <v>1027</v>
      </c>
      <c r="D537" s="74" t="s">
        <v>1252</v>
      </c>
      <c r="E537" s="74" t="s">
        <v>1509</v>
      </c>
      <c r="F537" s="211"/>
    </row>
    <row r="538" spans="1:6" s="207" customFormat="1" ht="30" x14ac:dyDescent="0.25">
      <c r="A538" s="74">
        <v>535</v>
      </c>
      <c r="B538" s="74">
        <v>6</v>
      </c>
      <c r="C538" s="74" t="s">
        <v>1027</v>
      </c>
      <c r="D538" s="74" t="s">
        <v>1252</v>
      </c>
      <c r="E538" s="74" t="s">
        <v>1523</v>
      </c>
      <c r="F538" s="211"/>
    </row>
    <row r="539" spans="1:6" s="207" customFormat="1" ht="30" x14ac:dyDescent="0.25">
      <c r="A539" s="74">
        <v>536</v>
      </c>
      <c r="B539" s="74">
        <v>6</v>
      </c>
      <c r="C539" s="74" t="s">
        <v>1027</v>
      </c>
      <c r="D539" s="74" t="s">
        <v>1252</v>
      </c>
      <c r="E539" s="74" t="s">
        <v>1510</v>
      </c>
      <c r="F539" s="211"/>
    </row>
    <row r="540" spans="1:6" s="207" customFormat="1" ht="15" x14ac:dyDescent="0.25">
      <c r="A540" s="74">
        <v>537</v>
      </c>
      <c r="B540" s="74">
        <v>7</v>
      </c>
      <c r="C540" s="74" t="s">
        <v>1027</v>
      </c>
      <c r="D540" s="74" t="s">
        <v>1252</v>
      </c>
      <c r="E540" s="74" t="s">
        <v>988</v>
      </c>
      <c r="F540" s="211"/>
    </row>
    <row r="541" spans="1:6" s="207" customFormat="1" ht="30" x14ac:dyDescent="0.25">
      <c r="A541" s="74">
        <v>538</v>
      </c>
      <c r="B541" s="74">
        <v>7</v>
      </c>
      <c r="C541" s="74" t="s">
        <v>1027</v>
      </c>
      <c r="D541" s="74" t="s">
        <v>1252</v>
      </c>
      <c r="E541" s="74" t="s">
        <v>1511</v>
      </c>
      <c r="F541" s="211"/>
    </row>
    <row r="542" spans="1:6" s="207" customFormat="1" ht="30" x14ac:dyDescent="0.25">
      <c r="A542" s="74">
        <v>539</v>
      </c>
      <c r="B542" s="74">
        <v>7</v>
      </c>
      <c r="C542" s="74" t="s">
        <v>1027</v>
      </c>
      <c r="D542" s="74" t="s">
        <v>1252</v>
      </c>
      <c r="E542" s="74" t="s">
        <v>1512</v>
      </c>
      <c r="F542" s="211"/>
    </row>
    <row r="543" spans="1:6" s="207" customFormat="1" ht="15" x14ac:dyDescent="0.25">
      <c r="A543" s="74">
        <v>540</v>
      </c>
      <c r="B543" s="74">
        <v>7</v>
      </c>
      <c r="C543" s="74" t="s">
        <v>1027</v>
      </c>
      <c r="D543" s="74" t="s">
        <v>1252</v>
      </c>
      <c r="E543" s="74" t="s">
        <v>2530</v>
      </c>
      <c r="F543" s="211"/>
    </row>
    <row r="544" spans="1:6" s="207" customFormat="1" ht="15" x14ac:dyDescent="0.25">
      <c r="A544" s="74">
        <v>541</v>
      </c>
      <c r="B544" s="74">
        <v>7</v>
      </c>
      <c r="C544" s="74" t="s">
        <v>1027</v>
      </c>
      <c r="D544" s="74" t="s">
        <v>1252</v>
      </c>
      <c r="E544" s="74" t="s">
        <v>2531</v>
      </c>
      <c r="F544" s="211"/>
    </row>
    <row r="545" spans="1:6" s="207" customFormat="1" ht="15" x14ac:dyDescent="0.25">
      <c r="A545" s="74">
        <v>542</v>
      </c>
      <c r="B545" s="74">
        <v>8</v>
      </c>
      <c r="C545" s="74" t="s">
        <v>1027</v>
      </c>
      <c r="D545" s="74" t="s">
        <v>1252</v>
      </c>
      <c r="E545" s="74" t="s">
        <v>2417</v>
      </c>
      <c r="F545" s="211"/>
    </row>
    <row r="546" spans="1:6" s="207" customFormat="1" ht="15" x14ac:dyDescent="0.25">
      <c r="A546" s="74">
        <v>543</v>
      </c>
      <c r="B546" s="74">
        <v>8</v>
      </c>
      <c r="C546" s="74" t="s">
        <v>1027</v>
      </c>
      <c r="D546" s="74" t="s">
        <v>1252</v>
      </c>
      <c r="E546" s="74" t="s">
        <v>1513</v>
      </c>
      <c r="F546" s="211"/>
    </row>
    <row r="547" spans="1:6" s="207" customFormat="1" ht="30" x14ac:dyDescent="0.25">
      <c r="A547" s="74">
        <v>544</v>
      </c>
      <c r="B547" s="74">
        <v>8</v>
      </c>
      <c r="C547" s="74" t="s">
        <v>1027</v>
      </c>
      <c r="D547" s="74" t="s">
        <v>1252</v>
      </c>
      <c r="E547" s="74" t="s">
        <v>1514</v>
      </c>
      <c r="F547" s="211"/>
    </row>
    <row r="548" spans="1:6" s="207" customFormat="1" ht="15" x14ac:dyDescent="0.25">
      <c r="A548" s="74">
        <v>545</v>
      </c>
      <c r="B548" s="74">
        <v>8</v>
      </c>
      <c r="C548" s="74" t="s">
        <v>1027</v>
      </c>
      <c r="D548" s="74" t="s">
        <v>1252</v>
      </c>
      <c r="E548" s="74" t="s">
        <v>2532</v>
      </c>
      <c r="F548" s="211"/>
    </row>
    <row r="549" spans="1:6" s="207" customFormat="1" ht="15" x14ac:dyDescent="0.25">
      <c r="A549" s="74">
        <v>546</v>
      </c>
      <c r="B549" s="74">
        <v>8</v>
      </c>
      <c r="C549" s="74" t="s">
        <v>1027</v>
      </c>
      <c r="D549" s="74" t="s">
        <v>1252</v>
      </c>
      <c r="E549" s="74" t="s">
        <v>2418</v>
      </c>
      <c r="F549" s="211"/>
    </row>
    <row r="550" spans="1:6" s="207" customFormat="1" ht="15" x14ac:dyDescent="0.25">
      <c r="A550" s="74">
        <v>547</v>
      </c>
      <c r="B550" s="74">
        <v>9</v>
      </c>
      <c r="C550" s="74" t="s">
        <v>1027</v>
      </c>
      <c r="D550" s="74" t="s">
        <v>1252</v>
      </c>
      <c r="E550" s="74" t="s">
        <v>2419</v>
      </c>
      <c r="F550" s="211"/>
    </row>
    <row r="551" spans="1:6" s="207" customFormat="1" ht="15" x14ac:dyDescent="0.25">
      <c r="A551" s="74">
        <v>548</v>
      </c>
      <c r="B551" s="74">
        <v>9</v>
      </c>
      <c r="C551" s="74" t="s">
        <v>1027</v>
      </c>
      <c r="D551" s="74" t="s">
        <v>1252</v>
      </c>
      <c r="E551" s="74" t="s">
        <v>1515</v>
      </c>
      <c r="F551" s="211"/>
    </row>
    <row r="552" spans="1:6" s="207" customFormat="1" ht="15" x14ac:dyDescent="0.25">
      <c r="A552" s="74">
        <v>549</v>
      </c>
      <c r="B552" s="74">
        <v>9</v>
      </c>
      <c r="C552" s="74" t="s">
        <v>1027</v>
      </c>
      <c r="D552" s="74" t="s">
        <v>1252</v>
      </c>
      <c r="E552" s="74" t="s">
        <v>2420</v>
      </c>
      <c r="F552" s="211"/>
    </row>
    <row r="553" spans="1:6" s="207" customFormat="1" ht="15" x14ac:dyDescent="0.25">
      <c r="A553" s="74">
        <v>550</v>
      </c>
      <c r="B553" s="74">
        <v>10</v>
      </c>
      <c r="C553" s="74" t="s">
        <v>1027</v>
      </c>
      <c r="D553" s="74" t="s">
        <v>1252</v>
      </c>
      <c r="E553" s="74" t="s">
        <v>1515</v>
      </c>
      <c r="F553" s="211"/>
    </row>
    <row r="554" spans="1:6" s="207" customFormat="1" ht="15" x14ac:dyDescent="0.25">
      <c r="A554" s="74">
        <v>551</v>
      </c>
      <c r="B554" s="74">
        <v>1</v>
      </c>
      <c r="C554" s="74" t="s">
        <v>1027</v>
      </c>
      <c r="D554" s="74" t="s">
        <v>1001</v>
      </c>
      <c r="E554" s="74" t="s">
        <v>1795</v>
      </c>
      <c r="F554" s="211"/>
    </row>
    <row r="555" spans="1:6" s="207" customFormat="1" ht="30" x14ac:dyDescent="0.25">
      <c r="A555" s="74">
        <v>552</v>
      </c>
      <c r="B555" s="74">
        <v>2</v>
      </c>
      <c r="C555" s="74" t="s">
        <v>1027</v>
      </c>
      <c r="D555" s="74" t="s">
        <v>1001</v>
      </c>
      <c r="E555" s="74" t="s">
        <v>1796</v>
      </c>
      <c r="F555" s="211"/>
    </row>
    <row r="556" spans="1:6" s="207" customFormat="1" ht="15" x14ac:dyDescent="0.25">
      <c r="A556" s="74">
        <v>553</v>
      </c>
      <c r="B556" s="74">
        <v>3</v>
      </c>
      <c r="C556" s="74" t="s">
        <v>1027</v>
      </c>
      <c r="D556" s="74" t="s">
        <v>1001</v>
      </c>
      <c r="E556" s="74" t="s">
        <v>1797</v>
      </c>
      <c r="F556" s="211"/>
    </row>
    <row r="557" spans="1:6" s="207" customFormat="1" ht="30" x14ac:dyDescent="0.25">
      <c r="A557" s="74">
        <v>554</v>
      </c>
      <c r="B557" s="74">
        <v>3</v>
      </c>
      <c r="C557" s="74" t="s">
        <v>1027</v>
      </c>
      <c r="D557" s="74" t="s">
        <v>1001</v>
      </c>
      <c r="E557" s="74" t="s">
        <v>1798</v>
      </c>
      <c r="F557" s="211"/>
    </row>
    <row r="558" spans="1:6" s="207" customFormat="1" ht="30" x14ac:dyDescent="0.25">
      <c r="A558" s="74">
        <v>555</v>
      </c>
      <c r="B558" s="74">
        <v>4</v>
      </c>
      <c r="C558" s="74" t="s">
        <v>1027</v>
      </c>
      <c r="D558" s="74" t="s">
        <v>1001</v>
      </c>
      <c r="E558" s="74" t="s">
        <v>1799</v>
      </c>
      <c r="F558" s="211"/>
    </row>
    <row r="559" spans="1:6" s="207" customFormat="1" ht="15" x14ac:dyDescent="0.25">
      <c r="A559" s="74">
        <v>556</v>
      </c>
      <c r="B559" s="74">
        <v>5</v>
      </c>
      <c r="C559" s="74" t="s">
        <v>1027</v>
      </c>
      <c r="D559" s="74" t="s">
        <v>1001</v>
      </c>
      <c r="E559" s="74" t="s">
        <v>1516</v>
      </c>
      <c r="F559" s="211"/>
    </row>
    <row r="560" spans="1:6" s="207" customFormat="1" ht="30" x14ac:dyDescent="0.25">
      <c r="A560" s="74">
        <v>557</v>
      </c>
      <c r="B560" s="74">
        <v>5</v>
      </c>
      <c r="C560" s="74" t="s">
        <v>1027</v>
      </c>
      <c r="D560" s="74" t="s">
        <v>1001</v>
      </c>
      <c r="E560" s="74" t="s">
        <v>2533</v>
      </c>
      <c r="F560" s="211"/>
    </row>
    <row r="561" spans="1:6" s="207" customFormat="1" ht="15" x14ac:dyDescent="0.25">
      <c r="A561" s="74">
        <v>558</v>
      </c>
      <c r="B561" s="74">
        <v>5</v>
      </c>
      <c r="C561" s="74" t="s">
        <v>1027</v>
      </c>
      <c r="D561" s="74" t="s">
        <v>1001</v>
      </c>
      <c r="E561" s="74" t="s">
        <v>1517</v>
      </c>
      <c r="F561" s="211"/>
    </row>
    <row r="562" spans="1:6" s="207" customFormat="1" ht="15" x14ac:dyDescent="0.25">
      <c r="A562" s="74">
        <v>559</v>
      </c>
      <c r="B562" s="74">
        <v>6</v>
      </c>
      <c r="C562" s="74" t="s">
        <v>1027</v>
      </c>
      <c r="D562" s="74" t="s">
        <v>1001</v>
      </c>
      <c r="E562" s="74" t="s">
        <v>1518</v>
      </c>
      <c r="F562" s="211"/>
    </row>
    <row r="563" spans="1:6" s="207" customFormat="1" ht="15" x14ac:dyDescent="0.25">
      <c r="A563" s="74">
        <v>560</v>
      </c>
      <c r="B563" s="74">
        <v>6</v>
      </c>
      <c r="C563" s="74" t="s">
        <v>1027</v>
      </c>
      <c r="D563" s="74" t="s">
        <v>1001</v>
      </c>
      <c r="E563" s="74" t="s">
        <v>2534</v>
      </c>
      <c r="F563" s="211"/>
    </row>
    <row r="564" spans="1:6" s="207" customFormat="1" ht="30" x14ac:dyDescent="0.25">
      <c r="A564" s="74">
        <v>561</v>
      </c>
      <c r="B564" s="74">
        <v>6</v>
      </c>
      <c r="C564" s="74" t="s">
        <v>1027</v>
      </c>
      <c r="D564" s="74" t="s">
        <v>1001</v>
      </c>
      <c r="E564" s="74" t="s">
        <v>1519</v>
      </c>
      <c r="F564" s="211"/>
    </row>
    <row r="565" spans="1:6" s="207" customFormat="1" ht="15" x14ac:dyDescent="0.25">
      <c r="A565" s="74">
        <v>562</v>
      </c>
      <c r="B565" s="74">
        <v>6</v>
      </c>
      <c r="C565" s="74" t="s">
        <v>1027</v>
      </c>
      <c r="D565" s="74" t="s">
        <v>1001</v>
      </c>
      <c r="E565" s="74" t="s">
        <v>1009</v>
      </c>
      <c r="F565" s="211"/>
    </row>
    <row r="566" spans="1:6" s="207" customFormat="1" ht="15" x14ac:dyDescent="0.25">
      <c r="A566" s="74">
        <v>563</v>
      </c>
      <c r="B566" s="74">
        <v>7</v>
      </c>
      <c r="C566" s="74" t="s">
        <v>1027</v>
      </c>
      <c r="D566" s="74" t="s">
        <v>1001</v>
      </c>
      <c r="E566" s="74" t="s">
        <v>1520</v>
      </c>
      <c r="F566" s="211"/>
    </row>
    <row r="567" spans="1:6" s="207" customFormat="1" ht="15" x14ac:dyDescent="0.25">
      <c r="A567" s="74">
        <v>564</v>
      </c>
      <c r="B567" s="74">
        <v>7</v>
      </c>
      <c r="C567" s="74" t="s">
        <v>1027</v>
      </c>
      <c r="D567" s="74" t="s">
        <v>1001</v>
      </c>
      <c r="E567" s="74" t="s">
        <v>2535</v>
      </c>
      <c r="F567" s="211"/>
    </row>
    <row r="568" spans="1:6" s="207" customFormat="1" ht="15" x14ac:dyDescent="0.25">
      <c r="A568" s="74">
        <v>565</v>
      </c>
      <c r="B568" s="74">
        <v>7</v>
      </c>
      <c r="C568" s="74" t="s">
        <v>1027</v>
      </c>
      <c r="D568" s="74" t="s">
        <v>1001</v>
      </c>
      <c r="E568" s="74" t="s">
        <v>1011</v>
      </c>
      <c r="F568" s="211"/>
    </row>
    <row r="569" spans="1:6" s="207" customFormat="1" ht="30" x14ac:dyDescent="0.25">
      <c r="A569" s="74">
        <v>566</v>
      </c>
      <c r="B569" s="74">
        <v>8</v>
      </c>
      <c r="C569" s="74" t="s">
        <v>1027</v>
      </c>
      <c r="D569" s="74" t="s">
        <v>1001</v>
      </c>
      <c r="E569" s="74" t="s">
        <v>2536</v>
      </c>
      <c r="F569" s="211"/>
    </row>
    <row r="570" spans="1:6" s="207" customFormat="1" ht="15" x14ac:dyDescent="0.25">
      <c r="A570" s="74">
        <v>567</v>
      </c>
      <c r="B570" s="74">
        <v>8</v>
      </c>
      <c r="C570" s="74" t="s">
        <v>1027</v>
      </c>
      <c r="D570" s="74" t="s">
        <v>1001</v>
      </c>
      <c r="E570" s="74" t="s">
        <v>2537</v>
      </c>
      <c r="F570" s="211"/>
    </row>
    <row r="571" spans="1:6" s="207" customFormat="1" ht="30" x14ac:dyDescent="0.25">
      <c r="A571" s="74">
        <v>568</v>
      </c>
      <c r="B571" s="74">
        <v>8</v>
      </c>
      <c r="C571" s="74" t="s">
        <v>1027</v>
      </c>
      <c r="D571" s="74" t="s">
        <v>1001</v>
      </c>
      <c r="E571" s="74" t="s">
        <v>2421</v>
      </c>
      <c r="F571" s="211"/>
    </row>
    <row r="572" spans="1:6" s="207" customFormat="1" ht="30" x14ac:dyDescent="0.25">
      <c r="A572" s="74">
        <v>569</v>
      </c>
      <c r="B572" s="74">
        <v>9</v>
      </c>
      <c r="C572" s="74" t="s">
        <v>1027</v>
      </c>
      <c r="D572" s="74" t="s">
        <v>1001</v>
      </c>
      <c r="E572" s="74" t="s">
        <v>2422</v>
      </c>
      <c r="F572" s="211"/>
    </row>
    <row r="573" spans="1:6" s="207" customFormat="1" ht="30" x14ac:dyDescent="0.25">
      <c r="A573" s="74">
        <v>570</v>
      </c>
      <c r="B573" s="74">
        <v>9</v>
      </c>
      <c r="C573" s="74" t="s">
        <v>1027</v>
      </c>
      <c r="D573" s="74" t="s">
        <v>1001</v>
      </c>
      <c r="E573" s="74" t="s">
        <v>2423</v>
      </c>
      <c r="F573" s="211"/>
    </row>
    <row r="574" spans="1:6" s="207" customFormat="1" ht="15" x14ac:dyDescent="0.25">
      <c r="A574" s="74">
        <v>571</v>
      </c>
      <c r="B574" s="74">
        <v>9</v>
      </c>
      <c r="C574" s="74" t="s">
        <v>1027</v>
      </c>
      <c r="D574" s="74" t="s">
        <v>1001</v>
      </c>
      <c r="E574" s="74" t="s">
        <v>1521</v>
      </c>
      <c r="F574" s="211"/>
    </row>
    <row r="575" spans="1:6" s="207" customFormat="1" ht="15" x14ac:dyDescent="0.25">
      <c r="A575" s="74">
        <v>572</v>
      </c>
      <c r="B575" s="74">
        <v>9</v>
      </c>
      <c r="C575" s="74" t="s">
        <v>1027</v>
      </c>
      <c r="D575" s="74" t="s">
        <v>1001</v>
      </c>
      <c r="E575" s="74" t="s">
        <v>2424</v>
      </c>
      <c r="F575" s="211"/>
    </row>
    <row r="576" spans="1:6" s="207" customFormat="1" ht="30" x14ac:dyDescent="0.25">
      <c r="A576" s="74">
        <v>573</v>
      </c>
      <c r="B576" s="74">
        <v>10</v>
      </c>
      <c r="C576" s="74" t="s">
        <v>1027</v>
      </c>
      <c r="D576" s="74" t="s">
        <v>1001</v>
      </c>
      <c r="E576" s="74" t="s">
        <v>1522</v>
      </c>
      <c r="F576" s="211"/>
    </row>
    <row r="577" spans="1:6" s="207" customFormat="1" ht="30" x14ac:dyDescent="0.25">
      <c r="A577" s="74">
        <v>574</v>
      </c>
      <c r="B577" s="74">
        <v>3</v>
      </c>
      <c r="C577" s="74" t="s">
        <v>1027</v>
      </c>
      <c r="D577" s="74" t="s">
        <v>2425</v>
      </c>
      <c r="E577" s="74" t="s">
        <v>2426</v>
      </c>
      <c r="F577" s="211"/>
    </row>
    <row r="578" spans="1:6" s="207" customFormat="1" ht="30" x14ac:dyDescent="0.25">
      <c r="A578" s="74">
        <v>575</v>
      </c>
      <c r="B578" s="74">
        <v>3</v>
      </c>
      <c r="C578" s="74" t="s">
        <v>1027</v>
      </c>
      <c r="D578" s="74" t="s">
        <v>2425</v>
      </c>
      <c r="E578" s="74" t="s">
        <v>2427</v>
      </c>
      <c r="F578" s="211"/>
    </row>
    <row r="579" spans="1:6" s="207" customFormat="1" ht="30" x14ac:dyDescent="0.25">
      <c r="A579" s="74">
        <v>576</v>
      </c>
      <c r="B579" s="74">
        <v>4</v>
      </c>
      <c r="C579" s="74" t="s">
        <v>1027</v>
      </c>
      <c r="D579" s="74" t="s">
        <v>2425</v>
      </c>
      <c r="E579" s="74" t="s">
        <v>1918</v>
      </c>
      <c r="F579" s="211"/>
    </row>
    <row r="580" spans="1:6" s="207" customFormat="1" ht="30" x14ac:dyDescent="0.25">
      <c r="A580" s="74">
        <v>577</v>
      </c>
      <c r="B580" s="74">
        <v>4</v>
      </c>
      <c r="C580" s="74" t="s">
        <v>1027</v>
      </c>
      <c r="D580" s="74" t="s">
        <v>2425</v>
      </c>
      <c r="E580" s="74" t="s">
        <v>2066</v>
      </c>
      <c r="F580" s="211"/>
    </row>
    <row r="581" spans="1:6" s="207" customFormat="1" ht="15" x14ac:dyDescent="0.25">
      <c r="A581" s="74">
        <v>578</v>
      </c>
      <c r="B581" s="74">
        <v>4</v>
      </c>
      <c r="C581" s="74" t="s">
        <v>1027</v>
      </c>
      <c r="D581" s="74" t="s">
        <v>2425</v>
      </c>
      <c r="E581" s="74" t="s">
        <v>2067</v>
      </c>
      <c r="F581" s="211"/>
    </row>
    <row r="582" spans="1:6" s="207" customFormat="1" ht="30" x14ac:dyDescent="0.25">
      <c r="A582" s="74">
        <v>579</v>
      </c>
      <c r="B582" s="74">
        <v>4</v>
      </c>
      <c r="C582" s="74" t="s">
        <v>1027</v>
      </c>
      <c r="D582" s="74" t="s">
        <v>2425</v>
      </c>
      <c r="E582" s="74" t="s">
        <v>2538</v>
      </c>
      <c r="F582" s="211"/>
    </row>
    <row r="583" spans="1:6" s="207" customFormat="1" ht="30" x14ac:dyDescent="0.25">
      <c r="A583" s="74">
        <v>580</v>
      </c>
      <c r="B583" s="74">
        <v>4</v>
      </c>
      <c r="C583" s="74" t="s">
        <v>1027</v>
      </c>
      <c r="D583" s="74" t="s">
        <v>2425</v>
      </c>
      <c r="E583" s="74" t="s">
        <v>2068</v>
      </c>
      <c r="F583" s="211"/>
    </row>
    <row r="584" spans="1:6" s="207" customFormat="1" ht="15" x14ac:dyDescent="0.25">
      <c r="A584" s="74">
        <v>581</v>
      </c>
      <c r="B584" s="74">
        <v>5</v>
      </c>
      <c r="C584" s="74" t="s">
        <v>1027</v>
      </c>
      <c r="D584" s="74" t="s">
        <v>2425</v>
      </c>
      <c r="E584" s="74" t="s">
        <v>2069</v>
      </c>
      <c r="F584" s="211"/>
    </row>
    <row r="585" spans="1:6" s="207" customFormat="1" ht="30" x14ac:dyDescent="0.25">
      <c r="A585" s="74">
        <v>582</v>
      </c>
      <c r="B585" s="74">
        <v>5</v>
      </c>
      <c r="C585" s="74" t="s">
        <v>1027</v>
      </c>
      <c r="D585" s="74" t="s">
        <v>2425</v>
      </c>
      <c r="E585" s="74" t="s">
        <v>1919</v>
      </c>
      <c r="F585" s="211"/>
    </row>
    <row r="586" spans="1:6" s="207" customFormat="1" ht="30" x14ac:dyDescent="0.25">
      <c r="A586" s="74">
        <v>583</v>
      </c>
      <c r="B586" s="74">
        <v>5</v>
      </c>
      <c r="C586" s="74" t="s">
        <v>1027</v>
      </c>
      <c r="D586" s="74" t="s">
        <v>2425</v>
      </c>
      <c r="E586" s="74" t="s">
        <v>2539</v>
      </c>
      <c r="F586" s="211"/>
    </row>
    <row r="587" spans="1:6" s="207" customFormat="1" ht="30" x14ac:dyDescent="0.25">
      <c r="A587" s="74">
        <v>584</v>
      </c>
      <c r="B587" s="74">
        <v>5</v>
      </c>
      <c r="C587" s="74" t="s">
        <v>1027</v>
      </c>
      <c r="D587" s="74" t="s">
        <v>2425</v>
      </c>
      <c r="E587" s="74" t="s">
        <v>2070</v>
      </c>
      <c r="F587" s="211"/>
    </row>
    <row r="588" spans="1:6" s="207" customFormat="1" ht="15" x14ac:dyDescent="0.25">
      <c r="A588" s="74">
        <v>585</v>
      </c>
      <c r="B588" s="74">
        <v>5</v>
      </c>
      <c r="C588" s="74" t="s">
        <v>1027</v>
      </c>
      <c r="D588" s="74" t="s">
        <v>2425</v>
      </c>
      <c r="E588" s="74" t="s">
        <v>2540</v>
      </c>
      <c r="F588" s="211"/>
    </row>
    <row r="589" spans="1:6" s="207" customFormat="1" ht="30" x14ac:dyDescent="0.25">
      <c r="A589" s="74">
        <v>586</v>
      </c>
      <c r="B589" s="74">
        <v>5</v>
      </c>
      <c r="C589" s="74" t="s">
        <v>1027</v>
      </c>
      <c r="D589" s="74" t="s">
        <v>2425</v>
      </c>
      <c r="E589" s="74" t="s">
        <v>1920</v>
      </c>
      <c r="F589" s="211"/>
    </row>
    <row r="590" spans="1:6" s="207" customFormat="1" ht="30" x14ac:dyDescent="0.25">
      <c r="A590" s="74">
        <v>587</v>
      </c>
      <c r="B590" s="74">
        <v>6</v>
      </c>
      <c r="C590" s="74" t="s">
        <v>1027</v>
      </c>
      <c r="D590" s="74" t="s">
        <v>2425</v>
      </c>
      <c r="E590" s="74" t="s">
        <v>2428</v>
      </c>
      <c r="F590" s="211"/>
    </row>
    <row r="591" spans="1:6" s="207" customFormat="1" ht="30" x14ac:dyDescent="0.25">
      <c r="A591" s="74">
        <v>588</v>
      </c>
      <c r="B591" s="74">
        <v>6</v>
      </c>
      <c r="C591" s="74" t="s">
        <v>1027</v>
      </c>
      <c r="D591" s="74" t="s">
        <v>2425</v>
      </c>
      <c r="E591" s="74" t="s">
        <v>1921</v>
      </c>
      <c r="F591" s="211"/>
    </row>
    <row r="592" spans="1:6" s="207" customFormat="1" ht="30" x14ac:dyDescent="0.25">
      <c r="A592" s="74">
        <v>589</v>
      </c>
      <c r="B592" s="74">
        <v>6</v>
      </c>
      <c r="C592" s="74" t="s">
        <v>1027</v>
      </c>
      <c r="D592" s="74" t="s">
        <v>2425</v>
      </c>
      <c r="E592" s="74" t="s">
        <v>2071</v>
      </c>
      <c r="F592" s="211"/>
    </row>
    <row r="593" spans="1:6" s="207" customFormat="1" ht="30" x14ac:dyDescent="0.25">
      <c r="A593" s="74">
        <v>590</v>
      </c>
      <c r="B593" s="74">
        <v>6</v>
      </c>
      <c r="C593" s="74" t="s">
        <v>1027</v>
      </c>
      <c r="D593" s="74" t="s">
        <v>2425</v>
      </c>
      <c r="E593" s="74" t="s">
        <v>2429</v>
      </c>
      <c r="F593" s="211"/>
    </row>
    <row r="594" spans="1:6" s="207" customFormat="1" ht="45" x14ac:dyDescent="0.25">
      <c r="A594" s="74">
        <v>591</v>
      </c>
      <c r="B594" s="74">
        <v>6</v>
      </c>
      <c r="C594" s="74" t="s">
        <v>1027</v>
      </c>
      <c r="D594" s="74" t="s">
        <v>2425</v>
      </c>
      <c r="E594" s="74" t="s">
        <v>2541</v>
      </c>
      <c r="F594" s="211"/>
    </row>
    <row r="595" spans="1:6" s="207" customFormat="1" ht="30" x14ac:dyDescent="0.25">
      <c r="A595" s="74">
        <v>592</v>
      </c>
      <c r="B595" s="74">
        <v>7</v>
      </c>
      <c r="C595" s="74" t="s">
        <v>1027</v>
      </c>
      <c r="D595" s="74" t="s">
        <v>2425</v>
      </c>
      <c r="E595" s="74" t="s">
        <v>2430</v>
      </c>
      <c r="F595" s="211"/>
    </row>
    <row r="596" spans="1:6" s="207" customFormat="1" ht="30" x14ac:dyDescent="0.25">
      <c r="A596" s="74">
        <v>593</v>
      </c>
      <c r="B596" s="74">
        <v>7</v>
      </c>
      <c r="C596" s="74" t="s">
        <v>1027</v>
      </c>
      <c r="D596" s="74" t="s">
        <v>2425</v>
      </c>
      <c r="E596" s="74" t="s">
        <v>2072</v>
      </c>
      <c r="F596" s="211"/>
    </row>
    <row r="597" spans="1:6" s="207" customFormat="1" ht="30" x14ac:dyDescent="0.25">
      <c r="A597" s="74">
        <v>594</v>
      </c>
      <c r="B597" s="74">
        <v>7</v>
      </c>
      <c r="C597" s="74" t="s">
        <v>1027</v>
      </c>
      <c r="D597" s="74" t="s">
        <v>2425</v>
      </c>
      <c r="E597" s="74" t="s">
        <v>2542</v>
      </c>
      <c r="F597" s="211"/>
    </row>
    <row r="598" spans="1:6" s="207" customFormat="1" ht="30" x14ac:dyDescent="0.25">
      <c r="A598" s="74">
        <v>595</v>
      </c>
      <c r="B598" s="74">
        <v>7</v>
      </c>
      <c r="C598" s="74" t="s">
        <v>1027</v>
      </c>
      <c r="D598" s="74" t="s">
        <v>2425</v>
      </c>
      <c r="E598" s="74" t="s">
        <v>2431</v>
      </c>
      <c r="F598" s="211"/>
    </row>
    <row r="599" spans="1:6" s="207" customFormat="1" ht="45" x14ac:dyDescent="0.25">
      <c r="A599" s="74">
        <v>596</v>
      </c>
      <c r="B599" s="74">
        <v>7</v>
      </c>
      <c r="C599" s="74" t="s">
        <v>1027</v>
      </c>
      <c r="D599" s="74" t="s">
        <v>2425</v>
      </c>
      <c r="E599" s="74" t="s">
        <v>1922</v>
      </c>
      <c r="F599" s="211"/>
    </row>
    <row r="600" spans="1:6" s="207" customFormat="1" ht="15" x14ac:dyDescent="0.25">
      <c r="A600" s="74">
        <v>597</v>
      </c>
      <c r="B600" s="74">
        <v>8</v>
      </c>
      <c r="C600" s="74" t="s">
        <v>1027</v>
      </c>
      <c r="D600" s="74" t="s">
        <v>2425</v>
      </c>
      <c r="E600" s="74" t="s">
        <v>2073</v>
      </c>
      <c r="F600" s="211"/>
    </row>
    <row r="601" spans="1:6" s="207" customFormat="1" ht="30" x14ac:dyDescent="0.25">
      <c r="A601" s="74">
        <v>598</v>
      </c>
      <c r="B601" s="74">
        <v>8</v>
      </c>
      <c r="C601" s="74" t="s">
        <v>1027</v>
      </c>
      <c r="D601" s="74" t="s">
        <v>2425</v>
      </c>
      <c r="E601" s="74" t="s">
        <v>1923</v>
      </c>
      <c r="F601" s="211"/>
    </row>
    <row r="602" spans="1:6" s="207" customFormat="1" ht="30" x14ac:dyDescent="0.25">
      <c r="A602" s="74">
        <v>599</v>
      </c>
      <c r="B602" s="74">
        <v>8</v>
      </c>
      <c r="C602" s="74" t="s">
        <v>1027</v>
      </c>
      <c r="D602" s="74" t="s">
        <v>2425</v>
      </c>
      <c r="E602" s="74" t="s">
        <v>2543</v>
      </c>
      <c r="F602" s="211"/>
    </row>
    <row r="603" spans="1:6" s="207" customFormat="1" ht="45" x14ac:dyDescent="0.25">
      <c r="A603" s="74">
        <v>600</v>
      </c>
      <c r="B603" s="74">
        <v>8</v>
      </c>
      <c r="C603" s="74" t="s">
        <v>1027</v>
      </c>
      <c r="D603" s="74" t="s">
        <v>2425</v>
      </c>
      <c r="E603" s="74" t="s">
        <v>2432</v>
      </c>
      <c r="F603" s="211"/>
    </row>
    <row r="604" spans="1:6" s="207" customFormat="1" ht="15" x14ac:dyDescent="0.25">
      <c r="A604" s="74">
        <v>601</v>
      </c>
      <c r="B604" s="74">
        <v>8</v>
      </c>
      <c r="C604" s="74" t="s">
        <v>1027</v>
      </c>
      <c r="D604" s="74" t="s">
        <v>2425</v>
      </c>
      <c r="E604" s="74" t="s">
        <v>2074</v>
      </c>
      <c r="F604" s="211"/>
    </row>
    <row r="605" spans="1:6" s="207" customFormat="1" ht="15" x14ac:dyDescent="0.25">
      <c r="A605" s="74">
        <v>602</v>
      </c>
      <c r="B605" s="74">
        <v>9</v>
      </c>
      <c r="C605" s="74" t="s">
        <v>1027</v>
      </c>
      <c r="D605" s="74" t="s">
        <v>2425</v>
      </c>
      <c r="E605" s="74" t="s">
        <v>2073</v>
      </c>
      <c r="F605" s="211"/>
    </row>
    <row r="606" spans="1:6" s="207" customFormat="1" ht="30" x14ac:dyDescent="0.25">
      <c r="A606" s="74">
        <v>603</v>
      </c>
      <c r="B606" s="74">
        <v>9</v>
      </c>
      <c r="C606" s="74" t="s">
        <v>1027</v>
      </c>
      <c r="D606" s="74" t="s">
        <v>2425</v>
      </c>
      <c r="E606" s="74" t="s">
        <v>1923</v>
      </c>
      <c r="F606" s="211"/>
    </row>
    <row r="607" spans="1:6" s="207" customFormat="1" ht="30" x14ac:dyDescent="0.25">
      <c r="A607" s="74">
        <v>604</v>
      </c>
      <c r="B607" s="74">
        <v>9</v>
      </c>
      <c r="C607" s="74" t="s">
        <v>1027</v>
      </c>
      <c r="D607" s="74" t="s">
        <v>2425</v>
      </c>
      <c r="E607" s="74" t="s">
        <v>2544</v>
      </c>
      <c r="F607" s="211"/>
    </row>
    <row r="608" spans="1:6" s="207" customFormat="1" ht="45" x14ac:dyDescent="0.25">
      <c r="A608" s="74">
        <v>605</v>
      </c>
      <c r="B608" s="74">
        <v>9</v>
      </c>
      <c r="C608" s="74" t="s">
        <v>1027</v>
      </c>
      <c r="D608" s="74" t="s">
        <v>2425</v>
      </c>
      <c r="E608" s="74" t="s">
        <v>1924</v>
      </c>
      <c r="F608" s="211"/>
    </row>
    <row r="609" spans="1:6" s="207" customFormat="1" ht="15" x14ac:dyDescent="0.25">
      <c r="A609" s="74">
        <v>606</v>
      </c>
      <c r="B609" s="74">
        <v>9</v>
      </c>
      <c r="C609" s="74" t="s">
        <v>1027</v>
      </c>
      <c r="D609" s="74" t="s">
        <v>2425</v>
      </c>
      <c r="E609" s="74" t="s">
        <v>2075</v>
      </c>
      <c r="F609" s="211"/>
    </row>
    <row r="610" spans="1:6" s="207" customFormat="1" ht="30" x14ac:dyDescent="0.25">
      <c r="A610" s="74">
        <v>607</v>
      </c>
      <c r="B610" s="74">
        <v>9</v>
      </c>
      <c r="C610" s="74" t="s">
        <v>1027</v>
      </c>
      <c r="D610" s="74" t="s">
        <v>2425</v>
      </c>
      <c r="E610" s="74" t="s">
        <v>2076</v>
      </c>
      <c r="F610" s="211"/>
    </row>
    <row r="611" spans="1:6" s="207" customFormat="1" ht="15" x14ac:dyDescent="0.25">
      <c r="A611" s="74">
        <v>608</v>
      </c>
      <c r="B611" s="74">
        <v>10</v>
      </c>
      <c r="C611" s="74" t="s">
        <v>1027</v>
      </c>
      <c r="D611" s="74" t="s">
        <v>2425</v>
      </c>
      <c r="E611" s="74" t="s">
        <v>2545</v>
      </c>
      <c r="F611" s="211"/>
    </row>
    <row r="612" spans="1:6" s="207" customFormat="1" ht="30" x14ac:dyDescent="0.25">
      <c r="A612" s="74">
        <v>609</v>
      </c>
      <c r="B612" s="74">
        <v>10</v>
      </c>
      <c r="C612" s="74" t="s">
        <v>1027</v>
      </c>
      <c r="D612" s="74" t="s">
        <v>2425</v>
      </c>
      <c r="E612" s="74" t="s">
        <v>2546</v>
      </c>
      <c r="F612" s="211"/>
    </row>
    <row r="613" spans="1:6" s="207" customFormat="1" ht="30" x14ac:dyDescent="0.25">
      <c r="A613" s="74">
        <v>610</v>
      </c>
      <c r="B613" s="74">
        <v>10</v>
      </c>
      <c r="C613" s="74" t="s">
        <v>1027</v>
      </c>
      <c r="D613" s="74" t="s">
        <v>2425</v>
      </c>
      <c r="E613" s="74" t="s">
        <v>2547</v>
      </c>
      <c r="F613" s="211"/>
    </row>
    <row r="614" spans="1:6" s="207" customFormat="1" ht="30" x14ac:dyDescent="0.25">
      <c r="A614" s="74">
        <v>611</v>
      </c>
      <c r="B614" s="74">
        <v>10</v>
      </c>
      <c r="C614" s="74" t="s">
        <v>1027</v>
      </c>
      <c r="D614" s="74" t="s">
        <v>2425</v>
      </c>
      <c r="E614" s="74" t="s">
        <v>2544</v>
      </c>
      <c r="F614" s="211"/>
    </row>
    <row r="615" spans="1:6" s="207" customFormat="1" ht="15" x14ac:dyDescent="0.25">
      <c r="A615" s="74">
        <v>612</v>
      </c>
      <c r="B615" s="74">
        <v>10</v>
      </c>
      <c r="C615" s="74" t="s">
        <v>1027</v>
      </c>
      <c r="D615" s="74" t="s">
        <v>2425</v>
      </c>
      <c r="E615" s="74" t="s">
        <v>2077</v>
      </c>
      <c r="F615" s="211"/>
    </row>
    <row r="616" spans="1:6" ht="34.5" customHeight="1" x14ac:dyDescent="0.25">
      <c r="A616" s="213"/>
    </row>
  </sheetData>
  <sheetProtection autoFilter="0" pivotTables="0"/>
  <autoFilter ref="A3:G607" xr:uid="{00000000-0009-0000-0000-000009000000}"/>
  <dataValidations disablePrompts="1" count="1">
    <dataValidation type="list" allowBlank="1" showInputMessage="1" showErrorMessage="1" sqref="G4:G509" xr:uid="{00000000-0002-0000-0900-000001000000}">
      <formula1>"Yes, No"</formula1>
    </dataValidation>
  </dataValidations>
  <pageMargins left="0.7" right="0.7" top="0.75" bottom="0.75" header="0.3" footer="0.3"/>
  <pageSetup paperSize="3" scale="50" fitToHeight="0" orientation="landscape"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J2550"/>
  <sheetViews>
    <sheetView zoomScale="80" zoomScaleNormal="80" workbookViewId="0">
      <selection activeCell="C2" sqref="C2"/>
    </sheetView>
  </sheetViews>
  <sheetFormatPr defaultColWidth="9.28515625" defaultRowHeight="12.75" x14ac:dyDescent="0.2"/>
  <cols>
    <col min="1" max="1" width="61" style="47" customWidth="1"/>
    <col min="2" max="2" width="11.5703125" style="47" customWidth="1"/>
    <col min="3" max="3" width="86.5703125" style="9" customWidth="1"/>
    <col min="4" max="4" width="23.42578125" style="2" customWidth="1"/>
    <col min="5" max="6" width="16.7109375" style="2" customWidth="1"/>
    <col min="7" max="7" width="109" style="2" customWidth="1"/>
    <col min="8" max="16384" width="9.28515625" style="2"/>
  </cols>
  <sheetData>
    <row r="1" spans="1:10" s="42" customFormat="1" ht="26.25" customHeight="1" x14ac:dyDescent="0.25">
      <c r="A1" s="43"/>
      <c r="B1" s="43"/>
      <c r="C1" s="43"/>
      <c r="D1" s="43"/>
      <c r="E1" s="43"/>
      <c r="F1" s="43"/>
      <c r="G1" s="43"/>
      <c r="H1" s="43"/>
      <c r="I1" s="43"/>
      <c r="J1" s="43"/>
    </row>
    <row r="2" spans="1:10" ht="15" x14ac:dyDescent="0.2">
      <c r="A2" s="44" t="s">
        <v>1017</v>
      </c>
      <c r="B2" s="44" t="s">
        <v>1018</v>
      </c>
    </row>
    <row r="3" spans="1:10" ht="15" x14ac:dyDescent="0.2">
      <c r="A3" s="44" t="s">
        <v>1019</v>
      </c>
      <c r="B3" s="44" t="s">
        <v>1018</v>
      </c>
    </row>
    <row r="5" spans="1:10" ht="25.5" x14ac:dyDescent="0.2">
      <c r="A5" s="45" t="s">
        <v>1020</v>
      </c>
      <c r="B5" s="38" t="s">
        <v>1021</v>
      </c>
      <c r="C5" s="46"/>
    </row>
    <row r="7" spans="1:10" ht="38.25" x14ac:dyDescent="0.2">
      <c r="A7" s="47" t="s">
        <v>1022</v>
      </c>
      <c r="B7" s="48" t="s">
        <v>563</v>
      </c>
      <c r="C7" s="9" t="s">
        <v>588</v>
      </c>
      <c r="D7" s="48" t="s">
        <v>590</v>
      </c>
    </row>
    <row r="8" spans="1:10" x14ac:dyDescent="0.2">
      <c r="A8" s="9" t="s">
        <v>591</v>
      </c>
      <c r="B8" s="9"/>
      <c r="D8" s="9"/>
    </row>
    <row r="9" spans="1:10" x14ac:dyDescent="0.2">
      <c r="A9" s="9" t="s">
        <v>592</v>
      </c>
      <c r="B9" s="9">
        <v>1</v>
      </c>
      <c r="C9" s="40" t="s">
        <v>593</v>
      </c>
      <c r="D9" s="40" t="s">
        <v>1023</v>
      </c>
    </row>
    <row r="10" spans="1:10" x14ac:dyDescent="0.2">
      <c r="B10" s="9">
        <v>2</v>
      </c>
      <c r="C10" s="40" t="s">
        <v>594</v>
      </c>
      <c r="D10" s="40" t="s">
        <v>1023</v>
      </c>
    </row>
    <row r="11" spans="1:10" x14ac:dyDescent="0.2">
      <c r="B11" s="9">
        <v>3</v>
      </c>
      <c r="C11" s="40" t="s">
        <v>595</v>
      </c>
      <c r="D11" s="40" t="s">
        <v>1023</v>
      </c>
    </row>
    <row r="12" spans="1:10" x14ac:dyDescent="0.2">
      <c r="B12" s="9">
        <v>4</v>
      </c>
      <c r="C12" s="40" t="s">
        <v>596</v>
      </c>
      <c r="D12" s="40" t="s">
        <v>1023</v>
      </c>
    </row>
    <row r="13" spans="1:10" x14ac:dyDescent="0.2">
      <c r="B13" s="9">
        <v>5</v>
      </c>
      <c r="C13" s="40" t="s">
        <v>597</v>
      </c>
      <c r="D13" s="40" t="s">
        <v>1023</v>
      </c>
    </row>
    <row r="14" spans="1:10" x14ac:dyDescent="0.2">
      <c r="B14" s="9">
        <v>6</v>
      </c>
      <c r="C14" s="40" t="s">
        <v>598</v>
      </c>
      <c r="D14" s="40" t="s">
        <v>1023</v>
      </c>
    </row>
    <row r="15" spans="1:10" x14ac:dyDescent="0.2">
      <c r="B15" s="9">
        <v>7</v>
      </c>
      <c r="C15" s="40" t="s">
        <v>599</v>
      </c>
      <c r="D15" s="40" t="s">
        <v>1023</v>
      </c>
    </row>
    <row r="16" spans="1:10" x14ac:dyDescent="0.2">
      <c r="B16" s="9">
        <v>8</v>
      </c>
      <c r="C16" s="40" t="s">
        <v>600</v>
      </c>
      <c r="D16" s="40" t="s">
        <v>1023</v>
      </c>
    </row>
    <row r="17" spans="1:4" x14ac:dyDescent="0.2">
      <c r="B17" s="9">
        <v>9</v>
      </c>
      <c r="C17" s="40" t="s">
        <v>601</v>
      </c>
      <c r="D17" s="40" t="s">
        <v>1023</v>
      </c>
    </row>
    <row r="18" spans="1:4" x14ac:dyDescent="0.2">
      <c r="B18" s="9">
        <v>10</v>
      </c>
      <c r="C18" s="40" t="s">
        <v>601</v>
      </c>
      <c r="D18" s="40" t="s">
        <v>1023</v>
      </c>
    </row>
    <row r="19" spans="1:4" ht="25.5" x14ac:dyDescent="0.2">
      <c r="A19" s="9" t="s">
        <v>602</v>
      </c>
      <c r="B19" s="9">
        <v>3</v>
      </c>
      <c r="C19" s="9" t="s">
        <v>603</v>
      </c>
      <c r="D19" s="40" t="s">
        <v>1023</v>
      </c>
    </row>
    <row r="20" spans="1:4" ht="25.5" x14ac:dyDescent="0.2">
      <c r="B20" s="9">
        <v>4</v>
      </c>
      <c r="C20" s="9" t="s">
        <v>604</v>
      </c>
      <c r="D20" s="40" t="s">
        <v>1023</v>
      </c>
    </row>
    <row r="21" spans="1:4" x14ac:dyDescent="0.2">
      <c r="B21" s="9">
        <v>5</v>
      </c>
      <c r="C21" s="9" t="s">
        <v>607</v>
      </c>
      <c r="D21" s="40" t="s">
        <v>1023</v>
      </c>
    </row>
    <row r="22" spans="1:4" ht="25.5" x14ac:dyDescent="0.2">
      <c r="C22" s="9" t="s">
        <v>605</v>
      </c>
      <c r="D22" s="40" t="s">
        <v>1023</v>
      </c>
    </row>
    <row r="23" spans="1:4" ht="25.5" x14ac:dyDescent="0.2">
      <c r="C23" s="9" t="s">
        <v>606</v>
      </c>
      <c r="D23" s="40" t="s">
        <v>1023</v>
      </c>
    </row>
    <row r="24" spans="1:4" x14ac:dyDescent="0.2">
      <c r="B24" s="9">
        <v>6</v>
      </c>
      <c r="C24" s="9" t="s">
        <v>610</v>
      </c>
      <c r="D24" s="40" t="s">
        <v>1023</v>
      </c>
    </row>
    <row r="25" spans="1:4" x14ac:dyDescent="0.2">
      <c r="C25" s="9" t="s">
        <v>608</v>
      </c>
      <c r="D25" s="40" t="s">
        <v>1023</v>
      </c>
    </row>
    <row r="26" spans="1:4" x14ac:dyDescent="0.2">
      <c r="C26" s="9" t="s">
        <v>611</v>
      </c>
      <c r="D26" s="40" t="s">
        <v>1023</v>
      </c>
    </row>
    <row r="27" spans="1:4" x14ac:dyDescent="0.2">
      <c r="C27" s="9" t="s">
        <v>612</v>
      </c>
      <c r="D27" s="40" t="s">
        <v>1023</v>
      </c>
    </row>
    <row r="28" spans="1:4" x14ac:dyDescent="0.2">
      <c r="C28" s="9" t="s">
        <v>609</v>
      </c>
      <c r="D28" s="40" t="s">
        <v>1023</v>
      </c>
    </row>
    <row r="29" spans="1:4" x14ac:dyDescent="0.2">
      <c r="B29" s="9">
        <v>7</v>
      </c>
      <c r="C29" s="9" t="s">
        <v>615</v>
      </c>
      <c r="D29" s="40" t="s">
        <v>1023</v>
      </c>
    </row>
    <row r="30" spans="1:4" x14ac:dyDescent="0.2">
      <c r="C30" s="9" t="s">
        <v>613</v>
      </c>
      <c r="D30" s="40" t="s">
        <v>1023</v>
      </c>
    </row>
    <row r="31" spans="1:4" ht="25.5" x14ac:dyDescent="0.2">
      <c r="C31" s="9" t="s">
        <v>614</v>
      </c>
      <c r="D31" s="40" t="s">
        <v>1023</v>
      </c>
    </row>
    <row r="32" spans="1:4" ht="25.5" x14ac:dyDescent="0.2">
      <c r="B32" s="9">
        <v>8</v>
      </c>
      <c r="C32" s="9" t="s">
        <v>618</v>
      </c>
      <c r="D32" s="40" t="s">
        <v>1023</v>
      </c>
    </row>
    <row r="33" spans="1:4" x14ac:dyDescent="0.2">
      <c r="C33" s="9" t="s">
        <v>616</v>
      </c>
      <c r="D33" s="40" t="s">
        <v>1023</v>
      </c>
    </row>
    <row r="34" spans="1:4" x14ac:dyDescent="0.2">
      <c r="C34" s="9" t="s">
        <v>617</v>
      </c>
      <c r="D34" s="40" t="s">
        <v>1023</v>
      </c>
    </row>
    <row r="35" spans="1:4" x14ac:dyDescent="0.2">
      <c r="B35" s="9">
        <v>9</v>
      </c>
      <c r="C35" s="9" t="s">
        <v>619</v>
      </c>
      <c r="D35" s="40" t="s">
        <v>1023</v>
      </c>
    </row>
    <row r="36" spans="1:4" x14ac:dyDescent="0.2">
      <c r="C36" s="9" t="s">
        <v>620</v>
      </c>
      <c r="D36" s="40" t="s">
        <v>1023</v>
      </c>
    </row>
    <row r="37" spans="1:4" x14ac:dyDescent="0.2">
      <c r="B37" s="9">
        <v>10</v>
      </c>
      <c r="C37" s="9" t="s">
        <v>621</v>
      </c>
      <c r="D37" s="40" t="s">
        <v>1023</v>
      </c>
    </row>
    <row r="38" spans="1:4" ht="25.5" x14ac:dyDescent="0.2">
      <c r="C38" s="9" t="s">
        <v>622</v>
      </c>
      <c r="D38" s="40" t="s">
        <v>1023</v>
      </c>
    </row>
    <row r="39" spans="1:4" x14ac:dyDescent="0.2">
      <c r="A39" s="9" t="s">
        <v>150</v>
      </c>
      <c r="B39" s="9">
        <v>2</v>
      </c>
      <c r="C39" s="9" t="s">
        <v>623</v>
      </c>
      <c r="D39" s="40" t="s">
        <v>1023</v>
      </c>
    </row>
    <row r="40" spans="1:4" x14ac:dyDescent="0.2">
      <c r="B40" s="9">
        <v>3</v>
      </c>
      <c r="C40" s="9" t="s">
        <v>624</v>
      </c>
      <c r="D40" s="40" t="s">
        <v>1023</v>
      </c>
    </row>
    <row r="41" spans="1:4" ht="25.5" x14ac:dyDescent="0.2">
      <c r="B41" s="9">
        <v>4</v>
      </c>
      <c r="C41" s="9" t="s">
        <v>625</v>
      </c>
      <c r="D41" s="40" t="s">
        <v>1023</v>
      </c>
    </row>
    <row r="42" spans="1:4" x14ac:dyDescent="0.2">
      <c r="B42" s="9">
        <v>5</v>
      </c>
      <c r="C42" s="9" t="s">
        <v>626</v>
      </c>
      <c r="D42" s="40" t="s">
        <v>1023</v>
      </c>
    </row>
    <row r="43" spans="1:4" x14ac:dyDescent="0.2">
      <c r="B43" s="9">
        <v>6</v>
      </c>
      <c r="C43" s="9" t="s">
        <v>627</v>
      </c>
      <c r="D43" s="40" t="s">
        <v>1023</v>
      </c>
    </row>
    <row r="44" spans="1:4" ht="25.5" x14ac:dyDescent="0.2">
      <c r="C44" s="9" t="s">
        <v>628</v>
      </c>
      <c r="D44" s="40" t="s">
        <v>1023</v>
      </c>
    </row>
    <row r="45" spans="1:4" x14ac:dyDescent="0.2">
      <c r="B45" s="9">
        <v>7</v>
      </c>
      <c r="C45" s="9" t="s">
        <v>629</v>
      </c>
      <c r="D45" s="40" t="s">
        <v>1023</v>
      </c>
    </row>
    <row r="46" spans="1:4" ht="25.5" x14ac:dyDescent="0.2">
      <c r="C46" s="9" t="s">
        <v>630</v>
      </c>
      <c r="D46" s="40" t="s">
        <v>1023</v>
      </c>
    </row>
    <row r="47" spans="1:4" ht="25.5" x14ac:dyDescent="0.2">
      <c r="B47" s="9">
        <v>8</v>
      </c>
      <c r="C47" s="9" t="s">
        <v>631</v>
      </c>
      <c r="D47" s="40" t="s">
        <v>1023</v>
      </c>
    </row>
    <row r="48" spans="1:4" x14ac:dyDescent="0.2">
      <c r="C48" s="9" t="s">
        <v>632</v>
      </c>
      <c r="D48" s="40" t="s">
        <v>1023</v>
      </c>
    </row>
    <row r="49" spans="1:4" ht="25.5" x14ac:dyDescent="0.2">
      <c r="B49" s="9">
        <v>9</v>
      </c>
      <c r="C49" s="9" t="s">
        <v>633</v>
      </c>
      <c r="D49" s="40" t="s">
        <v>1023</v>
      </c>
    </row>
    <row r="50" spans="1:4" x14ac:dyDescent="0.2">
      <c r="B50" s="9">
        <v>10</v>
      </c>
      <c r="C50" s="9" t="s">
        <v>634</v>
      </c>
      <c r="D50" s="40" t="s">
        <v>1023</v>
      </c>
    </row>
    <row r="51" spans="1:4" x14ac:dyDescent="0.2">
      <c r="A51" s="9" t="s">
        <v>635</v>
      </c>
      <c r="B51" s="9"/>
      <c r="D51" s="9"/>
    </row>
    <row r="52" spans="1:4" ht="25.5" x14ac:dyDescent="0.2">
      <c r="A52" s="9" t="s">
        <v>167</v>
      </c>
      <c r="B52" s="9">
        <v>3</v>
      </c>
      <c r="C52" s="9" t="s">
        <v>636</v>
      </c>
      <c r="D52" s="40" t="s">
        <v>1023</v>
      </c>
    </row>
    <row r="53" spans="1:4" ht="25.5" x14ac:dyDescent="0.2">
      <c r="B53" s="9">
        <v>4</v>
      </c>
      <c r="C53" s="9" t="s">
        <v>637</v>
      </c>
      <c r="D53" s="40" t="s">
        <v>1023</v>
      </c>
    </row>
    <row r="54" spans="1:4" ht="25.5" x14ac:dyDescent="0.2">
      <c r="C54" s="9" t="s">
        <v>638</v>
      </c>
      <c r="D54" s="40" t="s">
        <v>1023</v>
      </c>
    </row>
    <row r="55" spans="1:4" ht="25.5" x14ac:dyDescent="0.2">
      <c r="C55" s="9" t="s">
        <v>639</v>
      </c>
      <c r="D55" s="40" t="s">
        <v>1023</v>
      </c>
    </row>
    <row r="56" spans="1:4" ht="25.5" x14ac:dyDescent="0.2">
      <c r="B56" s="9">
        <v>5</v>
      </c>
      <c r="C56" s="9" t="s">
        <v>641</v>
      </c>
      <c r="D56" s="40" t="s">
        <v>1023</v>
      </c>
    </row>
    <row r="57" spans="1:4" ht="25.5" x14ac:dyDescent="0.2">
      <c r="C57" s="9" t="s">
        <v>640</v>
      </c>
      <c r="D57" s="40" t="s">
        <v>1023</v>
      </c>
    </row>
    <row r="58" spans="1:4" ht="25.5" x14ac:dyDescent="0.2">
      <c r="C58" s="9" t="s">
        <v>642</v>
      </c>
      <c r="D58" s="40" t="s">
        <v>1023</v>
      </c>
    </row>
    <row r="59" spans="1:4" ht="25.5" x14ac:dyDescent="0.2">
      <c r="B59" s="9">
        <v>6</v>
      </c>
      <c r="C59" s="9" t="s">
        <v>644</v>
      </c>
      <c r="D59" s="40" t="s">
        <v>1023</v>
      </c>
    </row>
    <row r="60" spans="1:4" ht="25.5" x14ac:dyDescent="0.2">
      <c r="C60" s="9" t="s">
        <v>645</v>
      </c>
      <c r="D60" s="40" t="s">
        <v>1023</v>
      </c>
    </row>
    <row r="61" spans="1:4" ht="25.5" x14ac:dyDescent="0.2">
      <c r="C61" s="9" t="s">
        <v>643</v>
      </c>
      <c r="D61" s="40" t="s">
        <v>1023</v>
      </c>
    </row>
    <row r="62" spans="1:4" x14ac:dyDescent="0.2">
      <c r="C62" s="40" t="s">
        <v>1024</v>
      </c>
      <c r="D62" s="40" t="s">
        <v>1023</v>
      </c>
    </row>
    <row r="63" spans="1:4" ht="25.5" x14ac:dyDescent="0.2">
      <c r="B63" s="9">
        <v>7</v>
      </c>
      <c r="C63" s="9" t="s">
        <v>647</v>
      </c>
      <c r="D63" s="40" t="s">
        <v>1023</v>
      </c>
    </row>
    <row r="64" spans="1:4" ht="25.5" x14ac:dyDescent="0.2">
      <c r="C64" s="9" t="s">
        <v>646</v>
      </c>
      <c r="D64" s="40" t="s">
        <v>1023</v>
      </c>
    </row>
    <row r="65" spans="1:4" ht="25.5" x14ac:dyDescent="0.2">
      <c r="B65" s="9">
        <v>8</v>
      </c>
      <c r="C65" s="9" t="s">
        <v>649</v>
      </c>
      <c r="D65" s="40" t="s">
        <v>1023</v>
      </c>
    </row>
    <row r="66" spans="1:4" x14ac:dyDescent="0.2">
      <c r="C66" s="9" t="s">
        <v>648</v>
      </c>
      <c r="D66" s="40" t="s">
        <v>1023</v>
      </c>
    </row>
    <row r="67" spans="1:4" ht="25.5" x14ac:dyDescent="0.2">
      <c r="B67" s="9">
        <v>9</v>
      </c>
      <c r="C67" s="9" t="s">
        <v>650</v>
      </c>
      <c r="D67" s="40" t="s">
        <v>1023</v>
      </c>
    </row>
    <row r="68" spans="1:4" ht="25.5" x14ac:dyDescent="0.2">
      <c r="C68" s="9" t="s">
        <v>651</v>
      </c>
      <c r="D68" s="40" t="s">
        <v>1023</v>
      </c>
    </row>
    <row r="69" spans="1:4" ht="25.5" x14ac:dyDescent="0.2">
      <c r="B69" s="9">
        <v>10</v>
      </c>
      <c r="C69" s="9" t="s">
        <v>654</v>
      </c>
      <c r="D69" s="40" t="s">
        <v>1023</v>
      </c>
    </row>
    <row r="70" spans="1:4" x14ac:dyDescent="0.2">
      <c r="C70" s="9" t="s">
        <v>653</v>
      </c>
      <c r="D70" s="40" t="s">
        <v>1023</v>
      </c>
    </row>
    <row r="71" spans="1:4" x14ac:dyDescent="0.2">
      <c r="C71" s="9" t="s">
        <v>652</v>
      </c>
      <c r="D71" s="40" t="s">
        <v>1023</v>
      </c>
    </row>
    <row r="72" spans="1:4" x14ac:dyDescent="0.2">
      <c r="A72" s="9" t="s">
        <v>181</v>
      </c>
      <c r="B72" s="9">
        <v>1</v>
      </c>
      <c r="C72" s="9" t="s">
        <v>655</v>
      </c>
      <c r="D72" s="40" t="s">
        <v>1023</v>
      </c>
    </row>
    <row r="73" spans="1:4" x14ac:dyDescent="0.2">
      <c r="B73" s="9">
        <v>2</v>
      </c>
      <c r="C73" s="9" t="s">
        <v>656</v>
      </c>
      <c r="D73" s="40" t="s">
        <v>1023</v>
      </c>
    </row>
    <row r="74" spans="1:4" x14ac:dyDescent="0.2">
      <c r="C74" s="9" t="s">
        <v>657</v>
      </c>
      <c r="D74" s="40" t="s">
        <v>1023</v>
      </c>
    </row>
    <row r="75" spans="1:4" x14ac:dyDescent="0.2">
      <c r="B75" s="9">
        <v>3</v>
      </c>
      <c r="C75" s="9" t="s">
        <v>660</v>
      </c>
      <c r="D75" s="40" t="s">
        <v>1023</v>
      </c>
    </row>
    <row r="76" spans="1:4" x14ac:dyDescent="0.2">
      <c r="C76" s="9" t="s">
        <v>658</v>
      </c>
      <c r="D76" s="40" t="s">
        <v>1023</v>
      </c>
    </row>
    <row r="77" spans="1:4" x14ac:dyDescent="0.2">
      <c r="C77" s="9" t="s">
        <v>659</v>
      </c>
      <c r="D77" s="40" t="s">
        <v>1023</v>
      </c>
    </row>
    <row r="78" spans="1:4" ht="25.5" x14ac:dyDescent="0.2">
      <c r="B78" s="9">
        <v>4</v>
      </c>
      <c r="C78" s="9" t="s">
        <v>664</v>
      </c>
      <c r="D78" s="40" t="s">
        <v>1023</v>
      </c>
    </row>
    <row r="79" spans="1:4" x14ac:dyDescent="0.2">
      <c r="C79" s="9" t="s">
        <v>663</v>
      </c>
      <c r="D79" s="40" t="s">
        <v>1023</v>
      </c>
    </row>
    <row r="80" spans="1:4" ht="38.25" x14ac:dyDescent="0.2">
      <c r="C80" s="9" t="s">
        <v>661</v>
      </c>
      <c r="D80" s="40" t="s">
        <v>1023</v>
      </c>
    </row>
    <row r="81" spans="2:4" ht="25.5" x14ac:dyDescent="0.2">
      <c r="C81" s="9" t="s">
        <v>662</v>
      </c>
      <c r="D81" s="40" t="s">
        <v>1023</v>
      </c>
    </row>
    <row r="82" spans="2:4" x14ac:dyDescent="0.2">
      <c r="B82" s="9">
        <v>5</v>
      </c>
      <c r="C82" s="9" t="s">
        <v>666</v>
      </c>
      <c r="D82" s="40" t="s">
        <v>1023</v>
      </c>
    </row>
    <row r="83" spans="2:4" x14ac:dyDescent="0.2">
      <c r="C83" s="9" t="s">
        <v>665</v>
      </c>
      <c r="D83" s="40" t="s">
        <v>1023</v>
      </c>
    </row>
    <row r="84" spans="2:4" x14ac:dyDescent="0.2">
      <c r="C84" s="9" t="s">
        <v>667</v>
      </c>
      <c r="D84" s="40" t="s">
        <v>1023</v>
      </c>
    </row>
    <row r="85" spans="2:4" x14ac:dyDescent="0.2">
      <c r="C85" s="9" t="s">
        <v>669</v>
      </c>
      <c r="D85" s="40" t="s">
        <v>1023</v>
      </c>
    </row>
    <row r="86" spans="2:4" x14ac:dyDescent="0.2">
      <c r="C86" s="9" t="s">
        <v>668</v>
      </c>
      <c r="D86" s="40" t="s">
        <v>1023</v>
      </c>
    </row>
    <row r="87" spans="2:4" ht="25.5" x14ac:dyDescent="0.2">
      <c r="B87" s="9">
        <v>6</v>
      </c>
      <c r="C87" s="9" t="s">
        <v>671</v>
      </c>
      <c r="D87" s="40" t="s">
        <v>1023</v>
      </c>
    </row>
    <row r="88" spans="2:4" x14ac:dyDescent="0.2">
      <c r="C88" s="9" t="s">
        <v>670</v>
      </c>
      <c r="D88" s="40" t="s">
        <v>1023</v>
      </c>
    </row>
    <row r="89" spans="2:4" x14ac:dyDescent="0.2">
      <c r="C89" s="9" t="s">
        <v>672</v>
      </c>
      <c r="D89" s="40" t="s">
        <v>1023</v>
      </c>
    </row>
    <row r="90" spans="2:4" x14ac:dyDescent="0.2">
      <c r="C90" s="9" t="s">
        <v>673</v>
      </c>
      <c r="D90" s="40" t="s">
        <v>1023</v>
      </c>
    </row>
    <row r="91" spans="2:4" ht="25.5" x14ac:dyDescent="0.2">
      <c r="C91" s="9" t="s">
        <v>674</v>
      </c>
      <c r="D91" s="40" t="s">
        <v>1023</v>
      </c>
    </row>
    <row r="92" spans="2:4" ht="25.5" x14ac:dyDescent="0.2">
      <c r="B92" s="9">
        <v>7</v>
      </c>
      <c r="C92" s="9" t="s">
        <v>675</v>
      </c>
      <c r="D92" s="40" t="s">
        <v>1023</v>
      </c>
    </row>
    <row r="93" spans="2:4" x14ac:dyDescent="0.2">
      <c r="C93" s="9" t="s">
        <v>676</v>
      </c>
      <c r="D93" s="40" t="s">
        <v>1023</v>
      </c>
    </row>
    <row r="94" spans="2:4" x14ac:dyDescent="0.2">
      <c r="C94" s="9" t="s">
        <v>677</v>
      </c>
      <c r="D94" s="40" t="s">
        <v>1023</v>
      </c>
    </row>
    <row r="95" spans="2:4" ht="25.5" x14ac:dyDescent="0.2">
      <c r="C95" s="9" t="s">
        <v>678</v>
      </c>
      <c r="D95" s="40" t="s">
        <v>1023</v>
      </c>
    </row>
    <row r="96" spans="2:4" x14ac:dyDescent="0.2">
      <c r="B96" s="9">
        <v>8</v>
      </c>
      <c r="C96" s="9" t="s">
        <v>682</v>
      </c>
      <c r="D96" s="40" t="s">
        <v>1023</v>
      </c>
    </row>
    <row r="97" spans="1:4" x14ac:dyDescent="0.2">
      <c r="C97" s="9" t="s">
        <v>681</v>
      </c>
      <c r="D97" s="40" t="s">
        <v>1023</v>
      </c>
    </row>
    <row r="98" spans="1:4" x14ac:dyDescent="0.2">
      <c r="C98" s="9" t="s">
        <v>680</v>
      </c>
      <c r="D98" s="40" t="s">
        <v>1023</v>
      </c>
    </row>
    <row r="99" spans="1:4" x14ac:dyDescent="0.2">
      <c r="C99" s="9" t="s">
        <v>679</v>
      </c>
      <c r="D99" s="40" t="s">
        <v>1023</v>
      </c>
    </row>
    <row r="100" spans="1:4" ht="25.5" x14ac:dyDescent="0.2">
      <c r="B100" s="9">
        <v>9</v>
      </c>
      <c r="C100" s="9" t="s">
        <v>687</v>
      </c>
      <c r="D100" s="40" t="s">
        <v>1023</v>
      </c>
    </row>
    <row r="101" spans="1:4" x14ac:dyDescent="0.2">
      <c r="C101" s="9" t="s">
        <v>683</v>
      </c>
      <c r="D101" s="40" t="s">
        <v>1023</v>
      </c>
    </row>
    <row r="102" spans="1:4" ht="25.5" x14ac:dyDescent="0.2">
      <c r="C102" s="9" t="s">
        <v>684</v>
      </c>
      <c r="D102" s="40" t="s">
        <v>1023</v>
      </c>
    </row>
    <row r="103" spans="1:4" x14ac:dyDescent="0.2">
      <c r="C103" s="9" t="s">
        <v>686</v>
      </c>
      <c r="D103" s="40" t="s">
        <v>1023</v>
      </c>
    </row>
    <row r="104" spans="1:4" x14ac:dyDescent="0.2">
      <c r="C104" s="9" t="s">
        <v>685</v>
      </c>
      <c r="D104" s="40" t="s">
        <v>1023</v>
      </c>
    </row>
    <row r="105" spans="1:4" x14ac:dyDescent="0.2">
      <c r="B105" s="9">
        <v>10</v>
      </c>
      <c r="C105" s="9" t="s">
        <v>689</v>
      </c>
      <c r="D105" s="40" t="s">
        <v>1023</v>
      </c>
    </row>
    <row r="106" spans="1:4" ht="25.5" x14ac:dyDescent="0.2">
      <c r="C106" s="9" t="s">
        <v>688</v>
      </c>
      <c r="D106" s="40" t="s">
        <v>1023</v>
      </c>
    </row>
    <row r="107" spans="1:4" x14ac:dyDescent="0.2">
      <c r="A107" s="9" t="s">
        <v>193</v>
      </c>
      <c r="B107" s="9"/>
      <c r="D107" s="9"/>
    </row>
    <row r="108" spans="1:4" x14ac:dyDescent="0.2">
      <c r="A108" s="9" t="s">
        <v>196</v>
      </c>
      <c r="B108" s="9">
        <v>2</v>
      </c>
      <c r="C108" s="9" t="s">
        <v>690</v>
      </c>
      <c r="D108" s="40" t="s">
        <v>1023</v>
      </c>
    </row>
    <row r="109" spans="1:4" x14ac:dyDescent="0.2">
      <c r="B109" s="9">
        <v>3</v>
      </c>
      <c r="C109" s="9" t="s">
        <v>692</v>
      </c>
      <c r="D109" s="40" t="s">
        <v>1023</v>
      </c>
    </row>
    <row r="110" spans="1:4" x14ac:dyDescent="0.2">
      <c r="C110" s="9" t="s">
        <v>691</v>
      </c>
      <c r="D110" s="40" t="s">
        <v>1023</v>
      </c>
    </row>
    <row r="111" spans="1:4" ht="25.5" x14ac:dyDescent="0.2">
      <c r="C111" s="9" t="s">
        <v>693</v>
      </c>
      <c r="D111" s="40" t="s">
        <v>1023</v>
      </c>
    </row>
    <row r="112" spans="1:4" x14ac:dyDescent="0.2">
      <c r="B112" s="9">
        <v>4</v>
      </c>
      <c r="C112" s="9" t="s">
        <v>695</v>
      </c>
      <c r="D112" s="40" t="s">
        <v>1023</v>
      </c>
    </row>
    <row r="113" spans="1:4" x14ac:dyDescent="0.2">
      <c r="C113" s="9" t="s">
        <v>696</v>
      </c>
      <c r="D113" s="40" t="s">
        <v>1023</v>
      </c>
    </row>
    <row r="114" spans="1:4" x14ac:dyDescent="0.2">
      <c r="C114" s="9" t="s">
        <v>694</v>
      </c>
      <c r="D114" s="40" t="s">
        <v>1023</v>
      </c>
    </row>
    <row r="115" spans="1:4" ht="25.5" x14ac:dyDescent="0.2">
      <c r="B115" s="9">
        <v>5</v>
      </c>
      <c r="C115" s="9" t="s">
        <v>697</v>
      </c>
      <c r="D115" s="40" t="s">
        <v>1023</v>
      </c>
    </row>
    <row r="116" spans="1:4" ht="38.25" x14ac:dyDescent="0.2">
      <c r="C116" s="9" t="s">
        <v>698</v>
      </c>
      <c r="D116" s="40" t="s">
        <v>1023</v>
      </c>
    </row>
    <row r="117" spans="1:4" ht="38.25" x14ac:dyDescent="0.2">
      <c r="B117" s="9">
        <v>6</v>
      </c>
      <c r="C117" s="9" t="s">
        <v>699</v>
      </c>
      <c r="D117" s="40" t="s">
        <v>1023</v>
      </c>
    </row>
    <row r="118" spans="1:4" ht="25.5" x14ac:dyDescent="0.2">
      <c r="B118" s="9">
        <v>7</v>
      </c>
      <c r="C118" s="9" t="s">
        <v>700</v>
      </c>
      <c r="D118" s="40" t="s">
        <v>1023</v>
      </c>
    </row>
    <row r="119" spans="1:4" x14ac:dyDescent="0.2">
      <c r="B119" s="9">
        <v>8</v>
      </c>
      <c r="C119" s="9" t="s">
        <v>701</v>
      </c>
      <c r="D119" s="40" t="s">
        <v>1023</v>
      </c>
    </row>
    <row r="120" spans="1:4" ht="25.5" x14ac:dyDescent="0.2">
      <c r="B120" s="9">
        <v>9</v>
      </c>
      <c r="C120" s="9" t="s">
        <v>702</v>
      </c>
      <c r="D120" s="40" t="s">
        <v>1023</v>
      </c>
    </row>
    <row r="121" spans="1:4" x14ac:dyDescent="0.2">
      <c r="B121" s="9">
        <v>10</v>
      </c>
      <c r="C121" s="9" t="s">
        <v>703</v>
      </c>
      <c r="D121" s="40" t="s">
        <v>1023</v>
      </c>
    </row>
    <row r="122" spans="1:4" x14ac:dyDescent="0.2">
      <c r="A122" s="9" t="s">
        <v>213</v>
      </c>
      <c r="B122" s="9">
        <v>1</v>
      </c>
      <c r="C122" s="9" t="s">
        <v>704</v>
      </c>
      <c r="D122" s="40" t="s">
        <v>1023</v>
      </c>
    </row>
    <row r="123" spans="1:4" x14ac:dyDescent="0.2">
      <c r="B123" s="9">
        <v>2</v>
      </c>
      <c r="C123" s="9" t="s">
        <v>705</v>
      </c>
      <c r="D123" s="40" t="s">
        <v>1023</v>
      </c>
    </row>
    <row r="124" spans="1:4" ht="25.5" x14ac:dyDescent="0.2">
      <c r="B124" s="9">
        <v>3</v>
      </c>
      <c r="C124" s="9" t="s">
        <v>706</v>
      </c>
      <c r="D124" s="40" t="s">
        <v>1023</v>
      </c>
    </row>
    <row r="125" spans="1:4" ht="25.5" x14ac:dyDescent="0.2">
      <c r="B125" s="9">
        <v>4</v>
      </c>
      <c r="C125" s="9" t="s">
        <v>708</v>
      </c>
      <c r="D125" s="40" t="s">
        <v>1023</v>
      </c>
    </row>
    <row r="126" spans="1:4" x14ac:dyDescent="0.2">
      <c r="C126" s="9" t="s">
        <v>707</v>
      </c>
      <c r="D126" s="40" t="s">
        <v>1023</v>
      </c>
    </row>
    <row r="127" spans="1:4" x14ac:dyDescent="0.2">
      <c r="B127" s="9">
        <v>5</v>
      </c>
      <c r="C127" s="9" t="s">
        <v>709</v>
      </c>
      <c r="D127" s="40" t="s">
        <v>1023</v>
      </c>
    </row>
    <row r="128" spans="1:4" ht="25.5" x14ac:dyDescent="0.2">
      <c r="C128" s="9" t="s">
        <v>710</v>
      </c>
      <c r="D128" s="40" t="s">
        <v>1023</v>
      </c>
    </row>
    <row r="129" spans="2:4" ht="25.5" x14ac:dyDescent="0.2">
      <c r="B129" s="9">
        <v>6</v>
      </c>
      <c r="C129" s="9" t="s">
        <v>711</v>
      </c>
      <c r="D129" s="40" t="s">
        <v>1023</v>
      </c>
    </row>
    <row r="130" spans="2:4" x14ac:dyDescent="0.2">
      <c r="C130" s="9" t="s">
        <v>713</v>
      </c>
      <c r="D130" s="40" t="s">
        <v>1023</v>
      </c>
    </row>
    <row r="131" spans="2:4" x14ac:dyDescent="0.2">
      <c r="C131" s="9" t="s">
        <v>712</v>
      </c>
      <c r="D131" s="40" t="s">
        <v>1023</v>
      </c>
    </row>
    <row r="132" spans="2:4" x14ac:dyDescent="0.2">
      <c r="C132" s="9" t="s">
        <v>714</v>
      </c>
      <c r="D132" s="40" t="s">
        <v>1023</v>
      </c>
    </row>
    <row r="133" spans="2:4" x14ac:dyDescent="0.2">
      <c r="B133" s="9">
        <v>7</v>
      </c>
      <c r="C133" s="9" t="s">
        <v>716</v>
      </c>
      <c r="D133" s="40" t="s">
        <v>1023</v>
      </c>
    </row>
    <row r="134" spans="2:4" x14ac:dyDescent="0.2">
      <c r="C134" s="9" t="s">
        <v>717</v>
      </c>
      <c r="D134" s="40" t="s">
        <v>1023</v>
      </c>
    </row>
    <row r="135" spans="2:4" x14ac:dyDescent="0.2">
      <c r="C135" s="9" t="s">
        <v>718</v>
      </c>
      <c r="D135" s="40" t="s">
        <v>1023</v>
      </c>
    </row>
    <row r="136" spans="2:4" ht="25.5" x14ac:dyDescent="0.2">
      <c r="C136" s="9" t="s">
        <v>715</v>
      </c>
      <c r="D136" s="40" t="s">
        <v>1023</v>
      </c>
    </row>
    <row r="137" spans="2:4" x14ac:dyDescent="0.2">
      <c r="B137" s="9">
        <v>8</v>
      </c>
      <c r="C137" s="9" t="s">
        <v>719</v>
      </c>
      <c r="D137" s="40" t="s">
        <v>1023</v>
      </c>
    </row>
    <row r="138" spans="2:4" x14ac:dyDescent="0.2">
      <c r="C138" s="9" t="s">
        <v>721</v>
      </c>
      <c r="D138" s="40" t="s">
        <v>1023</v>
      </c>
    </row>
    <row r="139" spans="2:4" x14ac:dyDescent="0.2">
      <c r="C139" s="9" t="s">
        <v>720</v>
      </c>
      <c r="D139" s="40" t="s">
        <v>1023</v>
      </c>
    </row>
    <row r="140" spans="2:4" x14ac:dyDescent="0.2">
      <c r="B140" s="9">
        <v>9</v>
      </c>
      <c r="C140" s="9" t="s">
        <v>723</v>
      </c>
      <c r="D140" s="40" t="s">
        <v>1023</v>
      </c>
    </row>
    <row r="141" spans="2:4" x14ac:dyDescent="0.2">
      <c r="C141" s="9" t="s">
        <v>724</v>
      </c>
      <c r="D141" s="40" t="s">
        <v>1023</v>
      </c>
    </row>
    <row r="142" spans="2:4" x14ac:dyDescent="0.2">
      <c r="C142" s="9" t="s">
        <v>725</v>
      </c>
      <c r="D142" s="40" t="s">
        <v>1023</v>
      </c>
    </row>
    <row r="143" spans="2:4" ht="25.5" x14ac:dyDescent="0.2">
      <c r="C143" s="9" t="s">
        <v>722</v>
      </c>
      <c r="D143" s="40" t="s">
        <v>1023</v>
      </c>
    </row>
    <row r="144" spans="2:4" x14ac:dyDescent="0.2">
      <c r="C144" s="9" t="s">
        <v>718</v>
      </c>
      <c r="D144" s="40" t="s">
        <v>1023</v>
      </c>
    </row>
    <row r="145" spans="1:4" x14ac:dyDescent="0.2">
      <c r="B145" s="9">
        <v>10</v>
      </c>
      <c r="C145" s="9" t="s">
        <v>727</v>
      </c>
      <c r="D145" s="40" t="s">
        <v>1023</v>
      </c>
    </row>
    <row r="146" spans="1:4" x14ac:dyDescent="0.2">
      <c r="C146" s="9" t="s">
        <v>726</v>
      </c>
      <c r="D146" s="40" t="s">
        <v>1023</v>
      </c>
    </row>
    <row r="147" spans="1:4" x14ac:dyDescent="0.2">
      <c r="A147" s="9" t="s">
        <v>227</v>
      </c>
      <c r="B147" s="9">
        <v>1</v>
      </c>
      <c r="C147" s="9" t="s">
        <v>728</v>
      </c>
      <c r="D147" s="40" t="s">
        <v>1023</v>
      </c>
    </row>
    <row r="148" spans="1:4" ht="25.5" x14ac:dyDescent="0.2">
      <c r="B148" s="9">
        <v>2</v>
      </c>
      <c r="C148" s="9" t="s">
        <v>729</v>
      </c>
      <c r="D148" s="40" t="s">
        <v>1023</v>
      </c>
    </row>
    <row r="149" spans="1:4" x14ac:dyDescent="0.2">
      <c r="B149" s="9">
        <v>3</v>
      </c>
      <c r="C149" s="9" t="s">
        <v>730</v>
      </c>
      <c r="D149" s="40" t="s">
        <v>1023</v>
      </c>
    </row>
    <row r="150" spans="1:4" x14ac:dyDescent="0.2">
      <c r="B150" s="9">
        <v>4</v>
      </c>
      <c r="C150" s="9" t="s">
        <v>734</v>
      </c>
      <c r="D150" s="40" t="s">
        <v>1023</v>
      </c>
    </row>
    <row r="151" spans="1:4" x14ac:dyDescent="0.2">
      <c r="C151" s="9" t="s">
        <v>733</v>
      </c>
      <c r="D151" s="40" t="s">
        <v>1023</v>
      </c>
    </row>
    <row r="152" spans="1:4" x14ac:dyDescent="0.2">
      <c r="C152" s="9" t="s">
        <v>732</v>
      </c>
      <c r="D152" s="40" t="s">
        <v>1023</v>
      </c>
    </row>
    <row r="153" spans="1:4" x14ac:dyDescent="0.2">
      <c r="C153" s="9" t="s">
        <v>731</v>
      </c>
      <c r="D153" s="40" t="s">
        <v>1023</v>
      </c>
    </row>
    <row r="154" spans="1:4" x14ac:dyDescent="0.2">
      <c r="B154" s="9">
        <v>5</v>
      </c>
      <c r="C154" s="9" t="s">
        <v>736</v>
      </c>
      <c r="D154" s="40" t="s">
        <v>1023</v>
      </c>
    </row>
    <row r="155" spans="1:4" x14ac:dyDescent="0.2">
      <c r="C155" s="9" t="s">
        <v>735</v>
      </c>
      <c r="D155" s="40" t="s">
        <v>1023</v>
      </c>
    </row>
    <row r="156" spans="1:4" x14ac:dyDescent="0.2">
      <c r="B156" s="9">
        <v>6</v>
      </c>
      <c r="C156" s="9" t="s">
        <v>739</v>
      </c>
      <c r="D156" s="40" t="s">
        <v>1023</v>
      </c>
    </row>
    <row r="157" spans="1:4" ht="25.5" x14ac:dyDescent="0.2">
      <c r="C157" s="9" t="s">
        <v>738</v>
      </c>
      <c r="D157" s="40" t="s">
        <v>1023</v>
      </c>
    </row>
    <row r="158" spans="1:4" x14ac:dyDescent="0.2">
      <c r="C158" s="9" t="s">
        <v>737</v>
      </c>
      <c r="D158" s="40" t="s">
        <v>1023</v>
      </c>
    </row>
    <row r="159" spans="1:4" x14ac:dyDescent="0.2">
      <c r="B159" s="9">
        <v>7</v>
      </c>
      <c r="C159" s="9" t="s">
        <v>741</v>
      </c>
      <c r="D159" s="40" t="s">
        <v>1023</v>
      </c>
    </row>
    <row r="160" spans="1:4" x14ac:dyDescent="0.2">
      <c r="C160" s="9" t="s">
        <v>740</v>
      </c>
      <c r="D160" s="40" t="s">
        <v>1023</v>
      </c>
    </row>
    <row r="161" spans="1:4" x14ac:dyDescent="0.2">
      <c r="B161" s="9">
        <v>8</v>
      </c>
      <c r="C161" s="9" t="s">
        <v>744</v>
      </c>
      <c r="D161" s="40" t="s">
        <v>1023</v>
      </c>
    </row>
    <row r="162" spans="1:4" ht="25.5" x14ac:dyDescent="0.2">
      <c r="C162" s="9" t="s">
        <v>743</v>
      </c>
      <c r="D162" s="40" t="s">
        <v>1023</v>
      </c>
    </row>
    <row r="163" spans="1:4" ht="25.5" x14ac:dyDescent="0.2">
      <c r="C163" s="9" t="s">
        <v>742</v>
      </c>
      <c r="D163" s="40" t="s">
        <v>1023</v>
      </c>
    </row>
    <row r="164" spans="1:4" x14ac:dyDescent="0.2">
      <c r="B164" s="9">
        <v>9</v>
      </c>
      <c r="C164" s="9" t="s">
        <v>746</v>
      </c>
      <c r="D164" s="40" t="s">
        <v>1023</v>
      </c>
    </row>
    <row r="165" spans="1:4" x14ac:dyDescent="0.2">
      <c r="C165" s="9" t="s">
        <v>745</v>
      </c>
      <c r="D165" s="40" t="s">
        <v>1023</v>
      </c>
    </row>
    <row r="166" spans="1:4" ht="25.5" x14ac:dyDescent="0.2">
      <c r="B166" s="9">
        <v>10</v>
      </c>
      <c r="C166" s="9" t="s">
        <v>747</v>
      </c>
      <c r="D166" s="40" t="s">
        <v>1023</v>
      </c>
    </row>
    <row r="167" spans="1:4" x14ac:dyDescent="0.2">
      <c r="A167" s="9" t="s">
        <v>748</v>
      </c>
      <c r="B167" s="9"/>
      <c r="D167" s="9"/>
    </row>
    <row r="168" spans="1:4" x14ac:dyDescent="0.2">
      <c r="A168" s="9" t="s">
        <v>243</v>
      </c>
      <c r="B168" s="9">
        <v>1</v>
      </c>
      <c r="C168" s="9" t="s">
        <v>749</v>
      </c>
      <c r="D168" s="40" t="s">
        <v>1023</v>
      </c>
    </row>
    <row r="169" spans="1:4" x14ac:dyDescent="0.2">
      <c r="B169" s="9">
        <v>2</v>
      </c>
      <c r="C169" s="9" t="s">
        <v>750</v>
      </c>
      <c r="D169" s="40" t="s">
        <v>1023</v>
      </c>
    </row>
    <row r="170" spans="1:4" ht="25.5" x14ac:dyDescent="0.2">
      <c r="B170" s="9">
        <v>3</v>
      </c>
      <c r="C170" s="9" t="s">
        <v>751</v>
      </c>
      <c r="D170" s="40" t="s">
        <v>1023</v>
      </c>
    </row>
    <row r="171" spans="1:4" x14ac:dyDescent="0.2">
      <c r="B171" s="9">
        <v>4</v>
      </c>
      <c r="C171" s="9" t="s">
        <v>752</v>
      </c>
      <c r="D171" s="40" t="s">
        <v>1023</v>
      </c>
    </row>
    <row r="172" spans="1:4" ht="25.5" x14ac:dyDescent="0.2">
      <c r="B172" s="9">
        <v>5</v>
      </c>
      <c r="C172" s="9" t="s">
        <v>754</v>
      </c>
      <c r="D172" s="40" t="s">
        <v>1023</v>
      </c>
    </row>
    <row r="173" spans="1:4" ht="25.5" x14ac:dyDescent="0.2">
      <c r="C173" s="9" t="s">
        <v>753</v>
      </c>
      <c r="D173" s="40" t="s">
        <v>1023</v>
      </c>
    </row>
    <row r="174" spans="1:4" x14ac:dyDescent="0.2">
      <c r="B174" s="9">
        <v>6</v>
      </c>
      <c r="C174" s="9" t="s">
        <v>756</v>
      </c>
      <c r="D174" s="40" t="s">
        <v>1023</v>
      </c>
    </row>
    <row r="175" spans="1:4" x14ac:dyDescent="0.2">
      <c r="C175" s="9" t="s">
        <v>755</v>
      </c>
      <c r="D175" s="40" t="s">
        <v>1023</v>
      </c>
    </row>
    <row r="176" spans="1:4" x14ac:dyDescent="0.2">
      <c r="C176" s="9" t="s">
        <v>757</v>
      </c>
      <c r="D176" s="40" t="s">
        <v>1023</v>
      </c>
    </row>
    <row r="177" spans="1:4" x14ac:dyDescent="0.2">
      <c r="B177" s="9">
        <v>7</v>
      </c>
      <c r="C177" s="9" t="s">
        <v>759</v>
      </c>
      <c r="D177" s="40" t="s">
        <v>1023</v>
      </c>
    </row>
    <row r="178" spans="1:4" x14ac:dyDescent="0.2">
      <c r="C178" s="9" t="s">
        <v>758</v>
      </c>
      <c r="D178" s="40" t="s">
        <v>1023</v>
      </c>
    </row>
    <row r="179" spans="1:4" x14ac:dyDescent="0.2">
      <c r="B179" s="9">
        <v>8</v>
      </c>
      <c r="C179" s="9" t="s">
        <v>761</v>
      </c>
      <c r="D179" s="40" t="s">
        <v>1023</v>
      </c>
    </row>
    <row r="180" spans="1:4" ht="25.5" x14ac:dyDescent="0.2">
      <c r="C180" s="9" t="s">
        <v>760</v>
      </c>
      <c r="D180" s="40" t="s">
        <v>1023</v>
      </c>
    </row>
    <row r="181" spans="1:4" x14ac:dyDescent="0.2">
      <c r="B181" s="9">
        <v>9</v>
      </c>
      <c r="C181" s="9" t="s">
        <v>763</v>
      </c>
      <c r="D181" s="40" t="s">
        <v>1023</v>
      </c>
    </row>
    <row r="182" spans="1:4" ht="25.5" x14ac:dyDescent="0.2">
      <c r="C182" s="9" t="s">
        <v>762</v>
      </c>
      <c r="D182" s="40" t="s">
        <v>1023</v>
      </c>
    </row>
    <row r="183" spans="1:4" ht="25.5" x14ac:dyDescent="0.2">
      <c r="B183" s="9">
        <v>10</v>
      </c>
      <c r="C183" s="9" t="s">
        <v>764</v>
      </c>
      <c r="D183" s="40" t="s">
        <v>1023</v>
      </c>
    </row>
    <row r="184" spans="1:4" x14ac:dyDescent="0.2">
      <c r="A184" s="9" t="s">
        <v>258</v>
      </c>
      <c r="B184" s="9">
        <v>2</v>
      </c>
      <c r="C184" s="9" t="s">
        <v>765</v>
      </c>
      <c r="D184" s="40" t="s">
        <v>1023</v>
      </c>
    </row>
    <row r="185" spans="1:4" x14ac:dyDescent="0.2">
      <c r="B185" s="9">
        <v>3</v>
      </c>
      <c r="C185" s="9" t="s">
        <v>766</v>
      </c>
      <c r="D185" s="40" t="s">
        <v>1023</v>
      </c>
    </row>
    <row r="186" spans="1:4" x14ac:dyDescent="0.2">
      <c r="B186" s="9">
        <v>4</v>
      </c>
      <c r="C186" s="9" t="s">
        <v>768</v>
      </c>
      <c r="D186" s="40" t="s">
        <v>1023</v>
      </c>
    </row>
    <row r="187" spans="1:4" ht="25.5" x14ac:dyDescent="0.2">
      <c r="C187" s="9" t="s">
        <v>767</v>
      </c>
      <c r="D187" s="40" t="s">
        <v>1023</v>
      </c>
    </row>
    <row r="188" spans="1:4" x14ac:dyDescent="0.2">
      <c r="B188" s="9">
        <v>5</v>
      </c>
      <c r="C188" s="9" t="s">
        <v>771</v>
      </c>
      <c r="D188" s="40" t="s">
        <v>1023</v>
      </c>
    </row>
    <row r="189" spans="1:4" x14ac:dyDescent="0.2">
      <c r="C189" s="9" t="s">
        <v>769</v>
      </c>
      <c r="D189" s="40" t="s">
        <v>1023</v>
      </c>
    </row>
    <row r="190" spans="1:4" x14ac:dyDescent="0.2">
      <c r="C190" s="9" t="s">
        <v>770</v>
      </c>
      <c r="D190" s="40" t="s">
        <v>1023</v>
      </c>
    </row>
    <row r="191" spans="1:4" x14ac:dyDescent="0.2">
      <c r="B191" s="9">
        <v>6</v>
      </c>
      <c r="C191" s="9" t="s">
        <v>775</v>
      </c>
      <c r="D191" s="40" t="s">
        <v>1023</v>
      </c>
    </row>
    <row r="192" spans="1:4" x14ac:dyDescent="0.2">
      <c r="C192" s="9" t="s">
        <v>773</v>
      </c>
      <c r="D192" s="40" t="s">
        <v>1023</v>
      </c>
    </row>
    <row r="193" spans="1:4" ht="25.5" x14ac:dyDescent="0.2">
      <c r="C193" s="9" t="s">
        <v>772</v>
      </c>
      <c r="D193" s="40" t="s">
        <v>1023</v>
      </c>
    </row>
    <row r="194" spans="1:4" x14ac:dyDescent="0.2">
      <c r="C194" s="9" t="s">
        <v>774</v>
      </c>
      <c r="D194" s="40" t="s">
        <v>1023</v>
      </c>
    </row>
    <row r="195" spans="1:4" x14ac:dyDescent="0.2">
      <c r="B195" s="9">
        <v>7</v>
      </c>
      <c r="C195" s="9" t="s">
        <v>778</v>
      </c>
      <c r="D195" s="40" t="s">
        <v>1023</v>
      </c>
    </row>
    <row r="196" spans="1:4" x14ac:dyDescent="0.2">
      <c r="C196" s="9" t="s">
        <v>776</v>
      </c>
      <c r="D196" s="40" t="s">
        <v>1023</v>
      </c>
    </row>
    <row r="197" spans="1:4" x14ac:dyDescent="0.2">
      <c r="C197" s="9" t="s">
        <v>777</v>
      </c>
      <c r="D197" s="40" t="s">
        <v>1023</v>
      </c>
    </row>
    <row r="198" spans="1:4" x14ac:dyDescent="0.2">
      <c r="B198" s="9">
        <v>8</v>
      </c>
      <c r="C198" s="9" t="s">
        <v>780</v>
      </c>
      <c r="D198" s="40" t="s">
        <v>1023</v>
      </c>
    </row>
    <row r="199" spans="1:4" x14ac:dyDescent="0.2">
      <c r="C199" s="9" t="s">
        <v>779</v>
      </c>
      <c r="D199" s="40" t="s">
        <v>1023</v>
      </c>
    </row>
    <row r="200" spans="1:4" x14ac:dyDescent="0.2">
      <c r="C200" s="9" t="s">
        <v>781</v>
      </c>
      <c r="D200" s="40" t="s">
        <v>1023</v>
      </c>
    </row>
    <row r="201" spans="1:4" x14ac:dyDescent="0.2">
      <c r="B201" s="9">
        <v>9</v>
      </c>
      <c r="C201" s="9" t="s">
        <v>783</v>
      </c>
      <c r="D201" s="40" t="s">
        <v>1023</v>
      </c>
    </row>
    <row r="202" spans="1:4" x14ac:dyDescent="0.2">
      <c r="C202" s="9" t="s">
        <v>782</v>
      </c>
      <c r="D202" s="40" t="s">
        <v>1023</v>
      </c>
    </row>
    <row r="203" spans="1:4" x14ac:dyDescent="0.2">
      <c r="B203" s="9">
        <v>10</v>
      </c>
      <c r="C203" s="9" t="s">
        <v>784</v>
      </c>
      <c r="D203" s="40" t="s">
        <v>1023</v>
      </c>
    </row>
    <row r="204" spans="1:4" x14ac:dyDescent="0.2">
      <c r="A204" s="9" t="s">
        <v>271</v>
      </c>
      <c r="B204" s="9">
        <v>3</v>
      </c>
      <c r="C204" s="9" t="s">
        <v>785</v>
      </c>
      <c r="D204" s="40" t="s">
        <v>1023</v>
      </c>
    </row>
    <row r="205" spans="1:4" x14ac:dyDescent="0.2">
      <c r="B205" s="9">
        <v>4</v>
      </c>
      <c r="C205" s="9" t="s">
        <v>786</v>
      </c>
      <c r="D205" s="40" t="s">
        <v>1023</v>
      </c>
    </row>
    <row r="206" spans="1:4" ht="38.25" x14ac:dyDescent="0.2">
      <c r="B206" s="9">
        <v>5</v>
      </c>
      <c r="C206" s="9" t="s">
        <v>787</v>
      </c>
      <c r="D206" s="40" t="s">
        <v>1023</v>
      </c>
    </row>
    <row r="207" spans="1:4" ht="51" x14ac:dyDescent="0.2">
      <c r="C207" s="9" t="s">
        <v>788</v>
      </c>
      <c r="D207" s="40" t="s">
        <v>1023</v>
      </c>
    </row>
    <row r="208" spans="1:4" ht="25.5" x14ac:dyDescent="0.2">
      <c r="B208" s="9">
        <v>6</v>
      </c>
      <c r="C208" s="9" t="s">
        <v>790</v>
      </c>
      <c r="D208" s="40" t="s">
        <v>1023</v>
      </c>
    </row>
    <row r="209" spans="1:4" x14ac:dyDescent="0.2">
      <c r="C209" s="9" t="s">
        <v>789</v>
      </c>
      <c r="D209" s="40" t="s">
        <v>1023</v>
      </c>
    </row>
    <row r="210" spans="1:4" x14ac:dyDescent="0.2">
      <c r="B210" s="9">
        <v>7</v>
      </c>
      <c r="C210" s="9" t="s">
        <v>793</v>
      </c>
      <c r="D210" s="40" t="s">
        <v>1023</v>
      </c>
    </row>
    <row r="211" spans="1:4" x14ac:dyDescent="0.2">
      <c r="C211" s="9" t="s">
        <v>791</v>
      </c>
      <c r="D211" s="40" t="s">
        <v>1023</v>
      </c>
    </row>
    <row r="212" spans="1:4" ht="25.5" x14ac:dyDescent="0.2">
      <c r="C212" s="9" t="s">
        <v>792</v>
      </c>
      <c r="D212" s="40" t="s">
        <v>1023</v>
      </c>
    </row>
    <row r="213" spans="1:4" x14ac:dyDescent="0.2">
      <c r="B213" s="9">
        <v>8</v>
      </c>
      <c r="C213" s="9" t="s">
        <v>795</v>
      </c>
      <c r="D213" s="40" t="s">
        <v>1023</v>
      </c>
    </row>
    <row r="214" spans="1:4" x14ac:dyDescent="0.2">
      <c r="C214" s="9" t="s">
        <v>797</v>
      </c>
      <c r="D214" s="40" t="s">
        <v>1023</v>
      </c>
    </row>
    <row r="215" spans="1:4" x14ac:dyDescent="0.2">
      <c r="C215" s="9" t="s">
        <v>798</v>
      </c>
      <c r="D215" s="40" t="s">
        <v>1023</v>
      </c>
    </row>
    <row r="216" spans="1:4" x14ac:dyDescent="0.2">
      <c r="C216" s="9" t="s">
        <v>794</v>
      </c>
      <c r="D216" s="40" t="s">
        <v>1023</v>
      </c>
    </row>
    <row r="217" spans="1:4" x14ac:dyDescent="0.2">
      <c r="C217" s="9" t="s">
        <v>796</v>
      </c>
      <c r="D217" s="40" t="s">
        <v>1023</v>
      </c>
    </row>
    <row r="218" spans="1:4" x14ac:dyDescent="0.2">
      <c r="B218" s="9">
        <v>9</v>
      </c>
      <c r="C218" s="9" t="s">
        <v>800</v>
      </c>
      <c r="D218" s="40" t="s">
        <v>1023</v>
      </c>
    </row>
    <row r="219" spans="1:4" x14ac:dyDescent="0.2">
      <c r="C219" s="9" t="s">
        <v>802</v>
      </c>
      <c r="D219" s="40" t="s">
        <v>1023</v>
      </c>
    </row>
    <row r="220" spans="1:4" ht="25.5" x14ac:dyDescent="0.2">
      <c r="C220" s="9" t="s">
        <v>801</v>
      </c>
      <c r="D220" s="40" t="s">
        <v>1023</v>
      </c>
    </row>
    <row r="221" spans="1:4" x14ac:dyDescent="0.2">
      <c r="C221" s="9" t="s">
        <v>799</v>
      </c>
      <c r="D221" s="40" t="s">
        <v>1023</v>
      </c>
    </row>
    <row r="222" spans="1:4" x14ac:dyDescent="0.2">
      <c r="B222" s="9">
        <v>10</v>
      </c>
      <c r="C222" s="9" t="s">
        <v>799</v>
      </c>
      <c r="D222" s="40" t="s">
        <v>1023</v>
      </c>
    </row>
    <row r="223" spans="1:4" ht="25.5" x14ac:dyDescent="0.2">
      <c r="A223" s="9" t="s">
        <v>803</v>
      </c>
      <c r="B223" s="9">
        <v>2</v>
      </c>
      <c r="C223" s="9" t="s">
        <v>804</v>
      </c>
      <c r="D223" s="40" t="s">
        <v>1023</v>
      </c>
    </row>
    <row r="224" spans="1:4" ht="25.5" x14ac:dyDescent="0.2">
      <c r="B224" s="9">
        <v>3</v>
      </c>
      <c r="C224" s="9" t="s">
        <v>804</v>
      </c>
      <c r="D224" s="40" t="s">
        <v>1023</v>
      </c>
    </row>
    <row r="225" spans="2:4" x14ac:dyDescent="0.2">
      <c r="C225" s="9" t="s">
        <v>805</v>
      </c>
      <c r="D225" s="40" t="s">
        <v>1023</v>
      </c>
    </row>
    <row r="226" spans="2:4" x14ac:dyDescent="0.2">
      <c r="C226" s="9" t="s">
        <v>806</v>
      </c>
      <c r="D226" s="40" t="s">
        <v>1023</v>
      </c>
    </row>
    <row r="227" spans="2:4" x14ac:dyDescent="0.2">
      <c r="B227" s="9">
        <v>4</v>
      </c>
      <c r="C227" s="9" t="s">
        <v>807</v>
      </c>
      <c r="D227" s="40" t="s">
        <v>1023</v>
      </c>
    </row>
    <row r="228" spans="2:4" x14ac:dyDescent="0.2">
      <c r="C228" s="9" t="s">
        <v>806</v>
      </c>
      <c r="D228" s="40" t="s">
        <v>1023</v>
      </c>
    </row>
    <row r="229" spans="2:4" x14ac:dyDescent="0.2">
      <c r="C229" s="9" t="s">
        <v>808</v>
      </c>
      <c r="D229" s="40" t="s">
        <v>1023</v>
      </c>
    </row>
    <row r="230" spans="2:4" x14ac:dyDescent="0.2">
      <c r="C230" s="9" t="s">
        <v>809</v>
      </c>
      <c r="D230" s="40" t="s">
        <v>1023</v>
      </c>
    </row>
    <row r="231" spans="2:4" x14ac:dyDescent="0.2">
      <c r="B231" s="9">
        <v>5</v>
      </c>
      <c r="C231" s="9" t="s">
        <v>811</v>
      </c>
      <c r="D231" s="40" t="s">
        <v>1023</v>
      </c>
    </row>
    <row r="232" spans="2:4" x14ac:dyDescent="0.2">
      <c r="C232" s="9" t="s">
        <v>812</v>
      </c>
      <c r="D232" s="40" t="s">
        <v>1023</v>
      </c>
    </row>
    <row r="233" spans="2:4" x14ac:dyDescent="0.2">
      <c r="C233" s="9" t="s">
        <v>810</v>
      </c>
      <c r="D233" s="40" t="s">
        <v>1023</v>
      </c>
    </row>
    <row r="234" spans="2:4" x14ac:dyDescent="0.2">
      <c r="B234" s="9">
        <v>6</v>
      </c>
      <c r="C234" s="9" t="s">
        <v>810</v>
      </c>
      <c r="D234" s="40" t="s">
        <v>1023</v>
      </c>
    </row>
    <row r="235" spans="2:4" x14ac:dyDescent="0.2">
      <c r="C235" s="9" t="s">
        <v>813</v>
      </c>
      <c r="D235" s="40" t="s">
        <v>1023</v>
      </c>
    </row>
    <row r="236" spans="2:4" x14ac:dyDescent="0.2">
      <c r="B236" s="9">
        <v>7</v>
      </c>
      <c r="C236" s="9" t="s">
        <v>814</v>
      </c>
      <c r="D236" s="40" t="s">
        <v>1023</v>
      </c>
    </row>
    <row r="237" spans="2:4" ht="25.5" x14ac:dyDescent="0.2">
      <c r="C237" s="9" t="s">
        <v>815</v>
      </c>
      <c r="D237" s="40" t="s">
        <v>1023</v>
      </c>
    </row>
    <row r="238" spans="2:4" x14ac:dyDescent="0.2">
      <c r="B238" s="9">
        <v>8</v>
      </c>
      <c r="C238" s="9" t="s">
        <v>819</v>
      </c>
      <c r="D238" s="40" t="s">
        <v>1023</v>
      </c>
    </row>
    <row r="239" spans="2:4" x14ac:dyDescent="0.2">
      <c r="C239" s="9" t="s">
        <v>816</v>
      </c>
      <c r="D239" s="40" t="s">
        <v>1023</v>
      </c>
    </row>
    <row r="240" spans="2:4" ht="25.5" x14ac:dyDescent="0.2">
      <c r="C240" s="9" t="s">
        <v>817</v>
      </c>
      <c r="D240" s="40" t="s">
        <v>1023</v>
      </c>
    </row>
    <row r="241" spans="1:4" x14ac:dyDescent="0.2">
      <c r="C241" s="9" t="s">
        <v>818</v>
      </c>
      <c r="D241" s="40" t="s">
        <v>1023</v>
      </c>
    </row>
    <row r="242" spans="1:4" ht="25.5" x14ac:dyDescent="0.2">
      <c r="B242" s="9">
        <v>9</v>
      </c>
      <c r="C242" s="9" t="s">
        <v>820</v>
      </c>
      <c r="D242" s="40" t="s">
        <v>1023</v>
      </c>
    </row>
    <row r="243" spans="1:4" x14ac:dyDescent="0.2">
      <c r="C243" s="9" t="s">
        <v>821</v>
      </c>
      <c r="D243" s="40" t="s">
        <v>1023</v>
      </c>
    </row>
    <row r="244" spans="1:4" x14ac:dyDescent="0.2">
      <c r="C244" s="9" t="s">
        <v>822</v>
      </c>
      <c r="D244" s="40" t="s">
        <v>1023</v>
      </c>
    </row>
    <row r="245" spans="1:4" x14ac:dyDescent="0.2">
      <c r="B245" s="9">
        <v>10</v>
      </c>
      <c r="C245" s="9" t="s">
        <v>823</v>
      </c>
      <c r="D245" s="40" t="s">
        <v>1023</v>
      </c>
    </row>
    <row r="246" spans="1:4" x14ac:dyDescent="0.2">
      <c r="A246" s="9" t="s">
        <v>824</v>
      </c>
      <c r="B246" s="9"/>
      <c r="D246" s="9"/>
    </row>
    <row r="247" spans="1:4" x14ac:dyDescent="0.2">
      <c r="A247" s="9" t="s">
        <v>825</v>
      </c>
      <c r="B247" s="9">
        <v>2</v>
      </c>
      <c r="C247" s="9" t="s">
        <v>826</v>
      </c>
      <c r="D247" s="40" t="s">
        <v>1023</v>
      </c>
    </row>
    <row r="248" spans="1:4" ht="25.5" x14ac:dyDescent="0.2">
      <c r="B248" s="9">
        <v>3</v>
      </c>
      <c r="C248" s="9" t="s">
        <v>827</v>
      </c>
      <c r="D248" s="40" t="s">
        <v>1023</v>
      </c>
    </row>
    <row r="249" spans="1:4" x14ac:dyDescent="0.2">
      <c r="B249" s="9">
        <v>4</v>
      </c>
      <c r="C249" s="9" t="s">
        <v>828</v>
      </c>
      <c r="D249" s="40" t="s">
        <v>1023</v>
      </c>
    </row>
    <row r="250" spans="1:4" ht="25.5" x14ac:dyDescent="0.2">
      <c r="B250" s="9">
        <v>5</v>
      </c>
      <c r="C250" s="9" t="s">
        <v>829</v>
      </c>
      <c r="D250" s="40" t="s">
        <v>1023</v>
      </c>
    </row>
    <row r="251" spans="1:4" ht="25.5" x14ac:dyDescent="0.2">
      <c r="B251" s="9">
        <v>6</v>
      </c>
      <c r="C251" s="9" t="s">
        <v>830</v>
      </c>
      <c r="D251" s="40" t="s">
        <v>1023</v>
      </c>
    </row>
    <row r="252" spans="1:4" ht="25.5" x14ac:dyDescent="0.2">
      <c r="B252" s="9">
        <v>7</v>
      </c>
      <c r="C252" s="9" t="s">
        <v>831</v>
      </c>
      <c r="D252" s="40" t="s">
        <v>1023</v>
      </c>
    </row>
    <row r="253" spans="1:4" ht="25.5" x14ac:dyDescent="0.2">
      <c r="B253" s="9">
        <v>8</v>
      </c>
      <c r="C253" s="9" t="s">
        <v>833</v>
      </c>
      <c r="D253" s="40" t="s">
        <v>1023</v>
      </c>
    </row>
    <row r="254" spans="1:4" x14ac:dyDescent="0.2">
      <c r="C254" s="9" t="s">
        <v>832</v>
      </c>
      <c r="D254" s="40" t="s">
        <v>1023</v>
      </c>
    </row>
    <row r="255" spans="1:4" ht="25.5" x14ac:dyDescent="0.2">
      <c r="B255" s="9">
        <v>9</v>
      </c>
      <c r="C255" s="9" t="s">
        <v>835</v>
      </c>
      <c r="D255" s="40" t="s">
        <v>1023</v>
      </c>
    </row>
    <row r="256" spans="1:4" ht="25.5" x14ac:dyDescent="0.2">
      <c r="C256" s="9" t="s">
        <v>834</v>
      </c>
      <c r="D256" s="40" t="s">
        <v>1023</v>
      </c>
    </row>
    <row r="257" spans="1:4" ht="25.5" x14ac:dyDescent="0.2">
      <c r="B257" s="9">
        <v>10</v>
      </c>
      <c r="C257" s="9" t="s">
        <v>837</v>
      </c>
      <c r="D257" s="40" t="s">
        <v>1023</v>
      </c>
    </row>
    <row r="258" spans="1:4" x14ac:dyDescent="0.2">
      <c r="C258" s="9" t="s">
        <v>836</v>
      </c>
      <c r="D258" s="40" t="s">
        <v>1023</v>
      </c>
    </row>
    <row r="259" spans="1:4" x14ac:dyDescent="0.2">
      <c r="A259" s="9" t="s">
        <v>313</v>
      </c>
      <c r="B259" s="9">
        <v>2</v>
      </c>
      <c r="C259" s="9" t="s">
        <v>838</v>
      </c>
      <c r="D259" s="40" t="s">
        <v>1023</v>
      </c>
    </row>
    <row r="260" spans="1:4" x14ac:dyDescent="0.2">
      <c r="B260" s="9">
        <v>3</v>
      </c>
      <c r="C260" s="9" t="s">
        <v>840</v>
      </c>
      <c r="D260" s="40" t="s">
        <v>1023</v>
      </c>
    </row>
    <row r="261" spans="1:4" x14ac:dyDescent="0.2">
      <c r="C261" s="9" t="s">
        <v>839</v>
      </c>
      <c r="D261" s="40" t="s">
        <v>1023</v>
      </c>
    </row>
    <row r="262" spans="1:4" x14ac:dyDescent="0.2">
      <c r="B262" s="9">
        <v>4</v>
      </c>
      <c r="C262" s="9" t="s">
        <v>841</v>
      </c>
      <c r="D262" s="40" t="s">
        <v>1023</v>
      </c>
    </row>
    <row r="263" spans="1:4" x14ac:dyDescent="0.2">
      <c r="B263" s="9">
        <v>5</v>
      </c>
      <c r="C263" s="9" t="s">
        <v>842</v>
      </c>
      <c r="D263" s="40" t="s">
        <v>1023</v>
      </c>
    </row>
    <row r="264" spans="1:4" ht="25.5" x14ac:dyDescent="0.2">
      <c r="C264" s="9" t="s">
        <v>843</v>
      </c>
      <c r="D264" s="40" t="s">
        <v>1023</v>
      </c>
    </row>
    <row r="265" spans="1:4" ht="25.5" x14ac:dyDescent="0.2">
      <c r="B265" s="9">
        <v>6</v>
      </c>
      <c r="C265" s="9" t="s">
        <v>845</v>
      </c>
      <c r="D265" s="40" t="s">
        <v>1023</v>
      </c>
    </row>
    <row r="266" spans="1:4" x14ac:dyDescent="0.2">
      <c r="C266" s="9" t="s">
        <v>844</v>
      </c>
      <c r="D266" s="40" t="s">
        <v>1023</v>
      </c>
    </row>
    <row r="267" spans="1:4" x14ac:dyDescent="0.2">
      <c r="B267" s="9">
        <v>7</v>
      </c>
      <c r="C267" s="9" t="s">
        <v>847</v>
      </c>
      <c r="D267" s="40" t="s">
        <v>1023</v>
      </c>
    </row>
    <row r="268" spans="1:4" x14ac:dyDescent="0.2">
      <c r="C268" s="9" t="s">
        <v>848</v>
      </c>
      <c r="D268" s="40" t="s">
        <v>1023</v>
      </c>
    </row>
    <row r="269" spans="1:4" ht="25.5" x14ac:dyDescent="0.2">
      <c r="C269" s="9" t="s">
        <v>846</v>
      </c>
      <c r="D269" s="40" t="s">
        <v>1023</v>
      </c>
    </row>
    <row r="270" spans="1:4" x14ac:dyDescent="0.2">
      <c r="B270" s="9">
        <v>8</v>
      </c>
      <c r="C270" s="9" t="s">
        <v>850</v>
      </c>
      <c r="D270" s="40" t="s">
        <v>1023</v>
      </c>
    </row>
    <row r="271" spans="1:4" x14ac:dyDescent="0.2">
      <c r="C271" s="9" t="s">
        <v>851</v>
      </c>
      <c r="D271" s="40" t="s">
        <v>1023</v>
      </c>
    </row>
    <row r="272" spans="1:4" ht="25.5" x14ac:dyDescent="0.2">
      <c r="C272" s="9" t="s">
        <v>849</v>
      </c>
      <c r="D272" s="40" t="s">
        <v>1023</v>
      </c>
    </row>
    <row r="273" spans="1:4" ht="25.5" x14ac:dyDescent="0.2">
      <c r="B273" s="9">
        <v>9</v>
      </c>
      <c r="C273" s="9" t="s">
        <v>852</v>
      </c>
      <c r="D273" s="40" t="s">
        <v>1023</v>
      </c>
    </row>
    <row r="274" spans="1:4" ht="25.5" x14ac:dyDescent="0.2">
      <c r="C274" s="9" t="s">
        <v>853</v>
      </c>
      <c r="D274" s="40" t="s">
        <v>1023</v>
      </c>
    </row>
    <row r="275" spans="1:4" ht="25.5" x14ac:dyDescent="0.2">
      <c r="B275" s="9">
        <v>10</v>
      </c>
      <c r="C275" s="9" t="s">
        <v>854</v>
      </c>
      <c r="D275" s="40" t="s">
        <v>1023</v>
      </c>
    </row>
    <row r="276" spans="1:4" ht="25.5" x14ac:dyDescent="0.2">
      <c r="A276" s="9" t="s">
        <v>328</v>
      </c>
      <c r="B276" s="9">
        <v>3</v>
      </c>
      <c r="C276" s="9" t="s">
        <v>855</v>
      </c>
      <c r="D276" s="40" t="s">
        <v>1023</v>
      </c>
    </row>
    <row r="277" spans="1:4" ht="25.5" x14ac:dyDescent="0.2">
      <c r="B277" s="9">
        <v>4</v>
      </c>
      <c r="C277" s="9" t="s">
        <v>857</v>
      </c>
      <c r="D277" s="40" t="s">
        <v>1023</v>
      </c>
    </row>
    <row r="278" spans="1:4" x14ac:dyDescent="0.2">
      <c r="C278" s="9" t="s">
        <v>856</v>
      </c>
      <c r="D278" s="40" t="s">
        <v>1023</v>
      </c>
    </row>
    <row r="279" spans="1:4" ht="25.5" x14ac:dyDescent="0.2">
      <c r="B279" s="9">
        <v>5</v>
      </c>
      <c r="C279" s="9" t="s">
        <v>858</v>
      </c>
      <c r="D279" s="40" t="s">
        <v>1023</v>
      </c>
    </row>
    <row r="280" spans="1:4" x14ac:dyDescent="0.2">
      <c r="C280" s="9" t="s">
        <v>860</v>
      </c>
      <c r="D280" s="40" t="s">
        <v>1023</v>
      </c>
    </row>
    <row r="281" spans="1:4" ht="25.5" x14ac:dyDescent="0.2">
      <c r="C281" s="9" t="s">
        <v>859</v>
      </c>
      <c r="D281" s="40" t="s">
        <v>1023</v>
      </c>
    </row>
    <row r="282" spans="1:4" ht="25.5" x14ac:dyDescent="0.2">
      <c r="B282" s="9">
        <v>6</v>
      </c>
      <c r="C282" s="9" t="s">
        <v>862</v>
      </c>
      <c r="D282" s="40" t="s">
        <v>1023</v>
      </c>
    </row>
    <row r="283" spans="1:4" x14ac:dyDescent="0.2">
      <c r="C283" s="9" t="s">
        <v>861</v>
      </c>
      <c r="D283" s="40" t="s">
        <v>1023</v>
      </c>
    </row>
    <row r="284" spans="1:4" ht="25.5" x14ac:dyDescent="0.2">
      <c r="B284" s="9">
        <v>7</v>
      </c>
      <c r="C284" s="9" t="s">
        <v>864</v>
      </c>
      <c r="D284" s="40" t="s">
        <v>1023</v>
      </c>
    </row>
    <row r="285" spans="1:4" ht="25.5" x14ac:dyDescent="0.2">
      <c r="C285" s="9" t="s">
        <v>863</v>
      </c>
      <c r="D285" s="40" t="s">
        <v>1023</v>
      </c>
    </row>
    <row r="286" spans="1:4" x14ac:dyDescent="0.2">
      <c r="B286" s="9">
        <v>8</v>
      </c>
      <c r="C286" s="9" t="s">
        <v>867</v>
      </c>
      <c r="D286" s="40" t="s">
        <v>1023</v>
      </c>
    </row>
    <row r="287" spans="1:4" x14ac:dyDescent="0.2">
      <c r="C287" s="9" t="s">
        <v>865</v>
      </c>
      <c r="D287" s="40" t="s">
        <v>1023</v>
      </c>
    </row>
    <row r="288" spans="1:4" ht="25.5" x14ac:dyDescent="0.2">
      <c r="C288" s="9" t="s">
        <v>866</v>
      </c>
      <c r="D288" s="40" t="s">
        <v>1023</v>
      </c>
    </row>
    <row r="289" spans="1:4" x14ac:dyDescent="0.2">
      <c r="B289" s="9">
        <v>9</v>
      </c>
      <c r="C289" s="9" t="s">
        <v>870</v>
      </c>
      <c r="D289" s="40" t="s">
        <v>1023</v>
      </c>
    </row>
    <row r="290" spans="1:4" x14ac:dyDescent="0.2">
      <c r="C290" s="9" t="s">
        <v>868</v>
      </c>
      <c r="D290" s="40" t="s">
        <v>1023</v>
      </c>
    </row>
    <row r="291" spans="1:4" x14ac:dyDescent="0.2">
      <c r="C291" s="9" t="s">
        <v>869</v>
      </c>
      <c r="D291" s="40" t="s">
        <v>1023</v>
      </c>
    </row>
    <row r="292" spans="1:4" x14ac:dyDescent="0.2">
      <c r="B292" s="9">
        <v>10</v>
      </c>
      <c r="C292" s="9" t="s">
        <v>870</v>
      </c>
      <c r="D292" s="40" t="s">
        <v>1023</v>
      </c>
    </row>
    <row r="293" spans="1:4" x14ac:dyDescent="0.2">
      <c r="C293" s="9" t="s">
        <v>871</v>
      </c>
      <c r="D293" s="40" t="s">
        <v>1023</v>
      </c>
    </row>
    <row r="294" spans="1:4" x14ac:dyDescent="0.2">
      <c r="A294" s="9" t="s">
        <v>344</v>
      </c>
      <c r="B294" s="9"/>
      <c r="D294" s="9"/>
    </row>
    <row r="295" spans="1:4" x14ac:dyDescent="0.2">
      <c r="A295" s="9" t="s">
        <v>872</v>
      </c>
      <c r="B295" s="9">
        <v>4</v>
      </c>
      <c r="C295" s="9" t="s">
        <v>873</v>
      </c>
      <c r="D295" s="40" t="s">
        <v>1023</v>
      </c>
    </row>
    <row r="296" spans="1:4" x14ac:dyDescent="0.2">
      <c r="C296" s="9" t="s">
        <v>874</v>
      </c>
      <c r="D296" s="40" t="s">
        <v>1023</v>
      </c>
    </row>
    <row r="297" spans="1:4" x14ac:dyDescent="0.2">
      <c r="B297" s="9">
        <v>5</v>
      </c>
      <c r="C297" s="9" t="s">
        <v>875</v>
      </c>
      <c r="D297" s="40" t="s">
        <v>1023</v>
      </c>
    </row>
    <row r="298" spans="1:4" x14ac:dyDescent="0.2">
      <c r="B298" s="9">
        <v>6</v>
      </c>
      <c r="C298" s="9" t="s">
        <v>877</v>
      </c>
      <c r="D298" s="40" t="s">
        <v>1023</v>
      </c>
    </row>
    <row r="299" spans="1:4" x14ac:dyDescent="0.2">
      <c r="C299" s="9" t="s">
        <v>876</v>
      </c>
      <c r="D299" s="40" t="s">
        <v>1023</v>
      </c>
    </row>
    <row r="300" spans="1:4" ht="25.5" x14ac:dyDescent="0.2">
      <c r="B300" s="9">
        <v>7</v>
      </c>
      <c r="C300" s="9" t="s">
        <v>879</v>
      </c>
      <c r="D300" s="40" t="s">
        <v>1023</v>
      </c>
    </row>
    <row r="301" spans="1:4" x14ac:dyDescent="0.2">
      <c r="C301" s="9" t="s">
        <v>878</v>
      </c>
      <c r="D301" s="40" t="s">
        <v>1023</v>
      </c>
    </row>
    <row r="302" spans="1:4" x14ac:dyDescent="0.2">
      <c r="C302" s="9" t="s">
        <v>880</v>
      </c>
      <c r="D302" s="40" t="s">
        <v>1023</v>
      </c>
    </row>
    <row r="303" spans="1:4" ht="25.5" x14ac:dyDescent="0.2">
      <c r="B303" s="9">
        <v>8</v>
      </c>
      <c r="C303" s="9" t="s">
        <v>882</v>
      </c>
      <c r="D303" s="40" t="s">
        <v>1023</v>
      </c>
    </row>
    <row r="304" spans="1:4" x14ac:dyDescent="0.2">
      <c r="C304" s="9" t="s">
        <v>881</v>
      </c>
      <c r="D304" s="40" t="s">
        <v>1023</v>
      </c>
    </row>
    <row r="305" spans="1:4" x14ac:dyDescent="0.2">
      <c r="B305" s="9">
        <v>9</v>
      </c>
      <c r="C305" s="9" t="s">
        <v>883</v>
      </c>
      <c r="D305" s="40" t="s">
        <v>1023</v>
      </c>
    </row>
    <row r="306" spans="1:4" x14ac:dyDescent="0.2">
      <c r="C306" s="9" t="s">
        <v>884</v>
      </c>
      <c r="D306" s="40" t="s">
        <v>1023</v>
      </c>
    </row>
    <row r="307" spans="1:4" ht="25.5" x14ac:dyDescent="0.2">
      <c r="C307" s="9" t="s">
        <v>885</v>
      </c>
      <c r="D307" s="40" t="s">
        <v>1023</v>
      </c>
    </row>
    <row r="308" spans="1:4" x14ac:dyDescent="0.2">
      <c r="B308" s="9">
        <v>10</v>
      </c>
      <c r="C308" s="9" t="s">
        <v>887</v>
      </c>
      <c r="D308" s="40" t="s">
        <v>1023</v>
      </c>
    </row>
    <row r="309" spans="1:4" x14ac:dyDescent="0.2">
      <c r="C309" s="9" t="s">
        <v>886</v>
      </c>
      <c r="D309" s="40" t="s">
        <v>1023</v>
      </c>
    </row>
    <row r="310" spans="1:4" x14ac:dyDescent="0.2">
      <c r="C310" s="9" t="s">
        <v>884</v>
      </c>
      <c r="D310" s="40" t="s">
        <v>1023</v>
      </c>
    </row>
    <row r="311" spans="1:4" ht="25.5" x14ac:dyDescent="0.2">
      <c r="A311" s="9" t="s">
        <v>361</v>
      </c>
      <c r="B311" s="9">
        <v>4</v>
      </c>
      <c r="C311" s="9" t="s">
        <v>888</v>
      </c>
      <c r="D311" s="40" t="s">
        <v>1023</v>
      </c>
    </row>
    <row r="312" spans="1:4" ht="25.5" x14ac:dyDescent="0.2">
      <c r="C312" s="9" t="s">
        <v>889</v>
      </c>
      <c r="D312" s="40" t="s">
        <v>1023</v>
      </c>
    </row>
    <row r="313" spans="1:4" ht="25.5" x14ac:dyDescent="0.2">
      <c r="B313" s="9">
        <v>5</v>
      </c>
      <c r="C313" s="9" t="s">
        <v>890</v>
      </c>
      <c r="D313" s="40" t="s">
        <v>1023</v>
      </c>
    </row>
    <row r="314" spans="1:4" x14ac:dyDescent="0.2">
      <c r="C314" s="9" t="s">
        <v>892</v>
      </c>
      <c r="D314" s="40" t="s">
        <v>1023</v>
      </c>
    </row>
    <row r="315" spans="1:4" x14ac:dyDescent="0.2">
      <c r="C315" s="9" t="s">
        <v>891</v>
      </c>
      <c r="D315" s="40" t="s">
        <v>1023</v>
      </c>
    </row>
    <row r="316" spans="1:4" x14ac:dyDescent="0.2">
      <c r="B316" s="9">
        <v>6</v>
      </c>
      <c r="C316" s="9" t="s">
        <v>893</v>
      </c>
      <c r="D316" s="40" t="s">
        <v>1023</v>
      </c>
    </row>
    <row r="317" spans="1:4" x14ac:dyDescent="0.2">
      <c r="C317" s="9" t="s">
        <v>895</v>
      </c>
      <c r="D317" s="40" t="s">
        <v>1023</v>
      </c>
    </row>
    <row r="318" spans="1:4" ht="25.5" x14ac:dyDescent="0.2">
      <c r="C318" s="9" t="s">
        <v>894</v>
      </c>
      <c r="D318" s="40" t="s">
        <v>1023</v>
      </c>
    </row>
    <row r="319" spans="1:4" x14ac:dyDescent="0.2">
      <c r="B319" s="9">
        <v>7</v>
      </c>
      <c r="C319" s="9" t="s">
        <v>897</v>
      </c>
      <c r="D319" s="40" t="s">
        <v>1023</v>
      </c>
    </row>
    <row r="320" spans="1:4" x14ac:dyDescent="0.2">
      <c r="C320" s="9" t="s">
        <v>898</v>
      </c>
      <c r="D320" s="40" t="s">
        <v>1023</v>
      </c>
    </row>
    <row r="321" spans="1:4" ht="25.5" x14ac:dyDescent="0.2">
      <c r="C321" s="9" t="s">
        <v>896</v>
      </c>
      <c r="D321" s="40" t="s">
        <v>1023</v>
      </c>
    </row>
    <row r="322" spans="1:4" ht="25.5" x14ac:dyDescent="0.2">
      <c r="B322" s="9">
        <v>8</v>
      </c>
      <c r="C322" s="9" t="s">
        <v>899</v>
      </c>
      <c r="D322" s="40" t="s">
        <v>1023</v>
      </c>
    </row>
    <row r="323" spans="1:4" x14ac:dyDescent="0.2">
      <c r="C323" s="9" t="s">
        <v>901</v>
      </c>
      <c r="D323" s="40" t="s">
        <v>1023</v>
      </c>
    </row>
    <row r="324" spans="1:4" x14ac:dyDescent="0.2">
      <c r="C324" s="9" t="s">
        <v>900</v>
      </c>
      <c r="D324" s="40" t="s">
        <v>1023</v>
      </c>
    </row>
    <row r="325" spans="1:4" ht="25.5" x14ac:dyDescent="0.2">
      <c r="B325" s="9">
        <v>9</v>
      </c>
      <c r="C325" s="9" t="s">
        <v>902</v>
      </c>
      <c r="D325" s="40" t="s">
        <v>1023</v>
      </c>
    </row>
    <row r="326" spans="1:4" x14ac:dyDescent="0.2">
      <c r="B326" s="9">
        <v>10</v>
      </c>
      <c r="C326" s="9" t="s">
        <v>904</v>
      </c>
      <c r="D326" s="40" t="s">
        <v>1023</v>
      </c>
    </row>
    <row r="327" spans="1:4" x14ac:dyDescent="0.2">
      <c r="C327" s="9" t="s">
        <v>905</v>
      </c>
      <c r="D327" s="40" t="s">
        <v>1023</v>
      </c>
    </row>
    <row r="328" spans="1:4" ht="25.5" x14ac:dyDescent="0.2">
      <c r="C328" s="9" t="s">
        <v>903</v>
      </c>
      <c r="D328" s="40" t="s">
        <v>1023</v>
      </c>
    </row>
    <row r="329" spans="1:4" ht="25.5" x14ac:dyDescent="0.2">
      <c r="A329" s="9" t="s">
        <v>375</v>
      </c>
      <c r="B329" s="9">
        <v>4</v>
      </c>
      <c r="C329" s="9" t="s">
        <v>906</v>
      </c>
      <c r="D329" s="40" t="s">
        <v>1023</v>
      </c>
    </row>
    <row r="330" spans="1:4" ht="25.5" x14ac:dyDescent="0.2">
      <c r="B330" s="9">
        <v>5</v>
      </c>
      <c r="C330" s="9" t="s">
        <v>907</v>
      </c>
      <c r="D330" s="40" t="s">
        <v>1023</v>
      </c>
    </row>
    <row r="331" spans="1:4" ht="25.5" x14ac:dyDescent="0.2">
      <c r="B331" s="9">
        <v>6</v>
      </c>
      <c r="C331" s="9" t="s">
        <v>908</v>
      </c>
      <c r="D331" s="40" t="s">
        <v>1023</v>
      </c>
    </row>
    <row r="332" spans="1:4" x14ac:dyDescent="0.2">
      <c r="B332" s="9">
        <v>7</v>
      </c>
      <c r="C332" s="9" t="s">
        <v>1025</v>
      </c>
      <c r="D332" s="40" t="s">
        <v>1023</v>
      </c>
    </row>
    <row r="333" spans="1:4" x14ac:dyDescent="0.2">
      <c r="C333" s="9" t="s">
        <v>910</v>
      </c>
      <c r="D333" s="40" t="s">
        <v>1023</v>
      </c>
    </row>
    <row r="334" spans="1:4" x14ac:dyDescent="0.2">
      <c r="C334" s="9" t="s">
        <v>909</v>
      </c>
      <c r="D334" s="40" t="s">
        <v>1023</v>
      </c>
    </row>
    <row r="335" spans="1:4" x14ac:dyDescent="0.2">
      <c r="B335" s="9">
        <v>8</v>
      </c>
      <c r="C335" s="9" t="s">
        <v>911</v>
      </c>
      <c r="D335" s="40" t="s">
        <v>1023</v>
      </c>
    </row>
    <row r="336" spans="1:4" x14ac:dyDescent="0.2">
      <c r="C336" s="9" t="s">
        <v>913</v>
      </c>
      <c r="D336" s="40" t="s">
        <v>1023</v>
      </c>
    </row>
    <row r="337" spans="1:4" x14ac:dyDescent="0.2">
      <c r="C337" s="9" t="s">
        <v>912</v>
      </c>
      <c r="D337" s="40" t="s">
        <v>1023</v>
      </c>
    </row>
    <row r="338" spans="1:4" x14ac:dyDescent="0.2">
      <c r="C338" s="9" t="s">
        <v>915</v>
      </c>
      <c r="D338" s="40" t="s">
        <v>1023</v>
      </c>
    </row>
    <row r="339" spans="1:4" x14ac:dyDescent="0.2">
      <c r="C339" s="9" t="s">
        <v>914</v>
      </c>
      <c r="D339" s="40" t="s">
        <v>1023</v>
      </c>
    </row>
    <row r="340" spans="1:4" ht="25.5" x14ac:dyDescent="0.2">
      <c r="B340" s="9">
        <v>9</v>
      </c>
      <c r="C340" s="9" t="s">
        <v>918</v>
      </c>
      <c r="D340" s="40" t="s">
        <v>1023</v>
      </c>
    </row>
    <row r="341" spans="1:4" x14ac:dyDescent="0.2">
      <c r="C341" s="9" t="s">
        <v>917</v>
      </c>
      <c r="D341" s="40" t="s">
        <v>1023</v>
      </c>
    </row>
    <row r="342" spans="1:4" ht="25.5" x14ac:dyDescent="0.2">
      <c r="C342" s="9" t="s">
        <v>916</v>
      </c>
      <c r="D342" s="40" t="s">
        <v>1023</v>
      </c>
    </row>
    <row r="343" spans="1:4" ht="25.5" x14ac:dyDescent="0.2">
      <c r="B343" s="9">
        <v>10</v>
      </c>
      <c r="C343" s="9" t="s">
        <v>918</v>
      </c>
      <c r="D343" s="40" t="s">
        <v>1023</v>
      </c>
    </row>
    <row r="344" spans="1:4" x14ac:dyDescent="0.2">
      <c r="C344" s="9" t="s">
        <v>920</v>
      </c>
      <c r="D344" s="40" t="s">
        <v>1023</v>
      </c>
    </row>
    <row r="345" spans="1:4" ht="25.5" x14ac:dyDescent="0.2">
      <c r="C345" s="9" t="s">
        <v>919</v>
      </c>
      <c r="D345" s="40" t="s">
        <v>1023</v>
      </c>
    </row>
    <row r="346" spans="1:4" x14ac:dyDescent="0.2">
      <c r="A346" s="9" t="s">
        <v>921</v>
      </c>
      <c r="B346" s="9"/>
      <c r="D346" s="9"/>
    </row>
    <row r="347" spans="1:4" x14ac:dyDescent="0.2">
      <c r="A347" s="9" t="s">
        <v>922</v>
      </c>
      <c r="B347" s="9">
        <v>3</v>
      </c>
      <c r="C347" s="9" t="s">
        <v>923</v>
      </c>
      <c r="D347" s="40" t="s">
        <v>1023</v>
      </c>
    </row>
    <row r="348" spans="1:4" ht="25.5" x14ac:dyDescent="0.2">
      <c r="C348" s="9" t="s">
        <v>924</v>
      </c>
      <c r="D348" s="40" t="s">
        <v>1023</v>
      </c>
    </row>
    <row r="349" spans="1:4" ht="25.5" x14ac:dyDescent="0.2">
      <c r="B349" s="9">
        <v>4</v>
      </c>
      <c r="C349" s="9" t="s">
        <v>927</v>
      </c>
      <c r="D349" s="40" t="s">
        <v>1023</v>
      </c>
    </row>
    <row r="350" spans="1:4" x14ac:dyDescent="0.2">
      <c r="C350" s="9" t="s">
        <v>925</v>
      </c>
      <c r="D350" s="40" t="s">
        <v>1023</v>
      </c>
    </row>
    <row r="351" spans="1:4" ht="25.5" x14ac:dyDescent="0.2">
      <c r="C351" s="9" t="s">
        <v>926</v>
      </c>
      <c r="D351" s="40" t="s">
        <v>1023</v>
      </c>
    </row>
    <row r="352" spans="1:4" x14ac:dyDescent="0.2">
      <c r="B352" s="9">
        <v>5</v>
      </c>
      <c r="C352" s="9" t="s">
        <v>929</v>
      </c>
      <c r="D352" s="40" t="s">
        <v>1023</v>
      </c>
    </row>
    <row r="353" spans="2:4" x14ac:dyDescent="0.2">
      <c r="C353" s="9" t="s">
        <v>930</v>
      </c>
      <c r="D353" s="40" t="s">
        <v>1023</v>
      </c>
    </row>
    <row r="354" spans="2:4" x14ac:dyDescent="0.2">
      <c r="C354" s="9" t="s">
        <v>928</v>
      </c>
      <c r="D354" s="40" t="s">
        <v>1023</v>
      </c>
    </row>
    <row r="355" spans="2:4" x14ac:dyDescent="0.2">
      <c r="B355" s="9">
        <v>6</v>
      </c>
      <c r="C355" s="9" t="s">
        <v>931</v>
      </c>
      <c r="D355" s="40" t="s">
        <v>1023</v>
      </c>
    </row>
    <row r="356" spans="2:4" ht="25.5" x14ac:dyDescent="0.2">
      <c r="C356" s="9" t="s">
        <v>933</v>
      </c>
      <c r="D356" s="40" t="s">
        <v>1023</v>
      </c>
    </row>
    <row r="357" spans="2:4" ht="25.5" x14ac:dyDescent="0.2">
      <c r="C357" s="9" t="s">
        <v>932</v>
      </c>
      <c r="D357" s="40" t="s">
        <v>1023</v>
      </c>
    </row>
    <row r="358" spans="2:4" x14ac:dyDescent="0.2">
      <c r="B358" s="9">
        <v>7</v>
      </c>
      <c r="C358" s="9" t="s">
        <v>935</v>
      </c>
      <c r="D358" s="40" t="s">
        <v>1023</v>
      </c>
    </row>
    <row r="359" spans="2:4" x14ac:dyDescent="0.2">
      <c r="C359" s="9" t="s">
        <v>936</v>
      </c>
      <c r="D359" s="40" t="s">
        <v>1023</v>
      </c>
    </row>
    <row r="360" spans="2:4" x14ac:dyDescent="0.2">
      <c r="C360" s="9" t="s">
        <v>937</v>
      </c>
      <c r="D360" s="40" t="s">
        <v>1023</v>
      </c>
    </row>
    <row r="361" spans="2:4" x14ac:dyDescent="0.2">
      <c r="C361" s="9" t="s">
        <v>934</v>
      </c>
      <c r="D361" s="40" t="s">
        <v>1023</v>
      </c>
    </row>
    <row r="362" spans="2:4" x14ac:dyDescent="0.2">
      <c r="B362" s="9">
        <v>8</v>
      </c>
      <c r="C362" s="9" t="s">
        <v>939</v>
      </c>
      <c r="D362" s="40" t="s">
        <v>1023</v>
      </c>
    </row>
    <row r="363" spans="2:4" x14ac:dyDescent="0.2">
      <c r="C363" s="9" t="s">
        <v>940</v>
      </c>
      <c r="D363" s="40" t="s">
        <v>1023</v>
      </c>
    </row>
    <row r="364" spans="2:4" x14ac:dyDescent="0.2">
      <c r="C364" s="9" t="s">
        <v>941</v>
      </c>
      <c r="D364" s="40" t="s">
        <v>1023</v>
      </c>
    </row>
    <row r="365" spans="2:4" ht="25.5" x14ac:dyDescent="0.2">
      <c r="C365" s="9" t="s">
        <v>938</v>
      </c>
      <c r="D365" s="40" t="s">
        <v>1023</v>
      </c>
    </row>
    <row r="366" spans="2:4" x14ac:dyDescent="0.2">
      <c r="B366" s="9">
        <v>9</v>
      </c>
      <c r="C366" s="9" t="s">
        <v>943</v>
      </c>
      <c r="D366" s="40" t="s">
        <v>1023</v>
      </c>
    </row>
    <row r="367" spans="2:4" x14ac:dyDescent="0.2">
      <c r="C367" s="9" t="s">
        <v>942</v>
      </c>
      <c r="D367" s="40" t="s">
        <v>1023</v>
      </c>
    </row>
    <row r="368" spans="2:4" x14ac:dyDescent="0.2">
      <c r="B368" s="9">
        <v>10</v>
      </c>
      <c r="C368" s="9" t="s">
        <v>945</v>
      </c>
      <c r="D368" s="40" t="s">
        <v>1023</v>
      </c>
    </row>
    <row r="369" spans="1:4" ht="25.5" x14ac:dyDescent="0.2">
      <c r="C369" s="9" t="s">
        <v>944</v>
      </c>
      <c r="D369" s="40" t="s">
        <v>1023</v>
      </c>
    </row>
    <row r="370" spans="1:4" x14ac:dyDescent="0.2">
      <c r="A370" s="9" t="s">
        <v>403</v>
      </c>
      <c r="B370" s="9"/>
      <c r="D370" s="9"/>
    </row>
    <row r="371" spans="1:4" ht="25.5" x14ac:dyDescent="0.2">
      <c r="A371" s="9" t="s">
        <v>946</v>
      </c>
      <c r="B371" s="9">
        <v>4</v>
      </c>
      <c r="C371" s="9" t="s">
        <v>947</v>
      </c>
      <c r="D371" s="40" t="s">
        <v>1023</v>
      </c>
    </row>
    <row r="372" spans="1:4" x14ac:dyDescent="0.2">
      <c r="B372" s="9">
        <v>5</v>
      </c>
      <c r="C372" s="9" t="s">
        <v>949</v>
      </c>
      <c r="D372" s="40" t="s">
        <v>1023</v>
      </c>
    </row>
    <row r="373" spans="1:4" x14ac:dyDescent="0.2">
      <c r="C373" s="9" t="s">
        <v>948</v>
      </c>
      <c r="D373" s="40" t="s">
        <v>1023</v>
      </c>
    </row>
    <row r="374" spans="1:4" x14ac:dyDescent="0.2">
      <c r="B374" s="9">
        <v>6</v>
      </c>
      <c r="C374" s="9" t="s">
        <v>951</v>
      </c>
      <c r="D374" s="40" t="s">
        <v>1023</v>
      </c>
    </row>
    <row r="375" spans="1:4" ht="25.5" x14ac:dyDescent="0.2">
      <c r="C375" s="9" t="s">
        <v>950</v>
      </c>
      <c r="D375" s="40" t="s">
        <v>1023</v>
      </c>
    </row>
    <row r="376" spans="1:4" x14ac:dyDescent="0.2">
      <c r="B376" s="9">
        <v>7</v>
      </c>
      <c r="C376" s="9" t="s">
        <v>952</v>
      </c>
      <c r="D376" s="40" t="s">
        <v>1023</v>
      </c>
    </row>
    <row r="377" spans="1:4" x14ac:dyDescent="0.2">
      <c r="C377" s="9" t="s">
        <v>953</v>
      </c>
      <c r="D377" s="40" t="s">
        <v>1023</v>
      </c>
    </row>
    <row r="378" spans="1:4" x14ac:dyDescent="0.2">
      <c r="B378" s="9">
        <v>8</v>
      </c>
      <c r="C378" s="9" t="s">
        <v>956</v>
      </c>
      <c r="D378" s="40" t="s">
        <v>1023</v>
      </c>
    </row>
    <row r="379" spans="1:4" ht="25.5" x14ac:dyDescent="0.2">
      <c r="C379" s="9" t="s">
        <v>955</v>
      </c>
      <c r="D379" s="40" t="s">
        <v>1023</v>
      </c>
    </row>
    <row r="380" spans="1:4" x14ac:dyDescent="0.2">
      <c r="C380" s="9" t="s">
        <v>954</v>
      </c>
      <c r="D380" s="40" t="s">
        <v>1023</v>
      </c>
    </row>
    <row r="381" spans="1:4" x14ac:dyDescent="0.2">
      <c r="C381" s="40" t="s">
        <v>962</v>
      </c>
      <c r="D381" s="40" t="s">
        <v>1023</v>
      </c>
    </row>
    <row r="382" spans="1:4" x14ac:dyDescent="0.2">
      <c r="B382" s="9">
        <v>9</v>
      </c>
      <c r="C382" s="9" t="s">
        <v>959</v>
      </c>
      <c r="D382" s="40" t="s">
        <v>1023</v>
      </c>
    </row>
    <row r="383" spans="1:4" ht="25.5" x14ac:dyDescent="0.2">
      <c r="C383" s="9" t="s">
        <v>958</v>
      </c>
      <c r="D383" s="40" t="s">
        <v>1023</v>
      </c>
    </row>
    <row r="384" spans="1:4" ht="25.5" x14ac:dyDescent="0.2">
      <c r="C384" s="9" t="s">
        <v>957</v>
      </c>
      <c r="D384" s="40" t="s">
        <v>1023</v>
      </c>
    </row>
    <row r="385" spans="1:4" x14ac:dyDescent="0.2">
      <c r="C385" s="40" t="s">
        <v>963</v>
      </c>
      <c r="D385" s="40" t="s">
        <v>1023</v>
      </c>
    </row>
    <row r="386" spans="1:4" x14ac:dyDescent="0.2">
      <c r="C386" s="40" t="s">
        <v>964</v>
      </c>
      <c r="D386" s="40" t="s">
        <v>1023</v>
      </c>
    </row>
    <row r="387" spans="1:4" x14ac:dyDescent="0.2">
      <c r="B387" s="9">
        <v>10</v>
      </c>
      <c r="C387" s="9" t="s">
        <v>961</v>
      </c>
      <c r="D387" s="40" t="s">
        <v>1023</v>
      </c>
    </row>
    <row r="388" spans="1:4" ht="25.5" x14ac:dyDescent="0.2">
      <c r="C388" s="9" t="s">
        <v>960</v>
      </c>
      <c r="D388" s="40" t="s">
        <v>1023</v>
      </c>
    </row>
    <row r="389" spans="1:4" x14ac:dyDescent="0.2">
      <c r="C389" s="40" t="s">
        <v>963</v>
      </c>
      <c r="D389" s="40" t="s">
        <v>1023</v>
      </c>
    </row>
    <row r="390" spans="1:4" x14ac:dyDescent="0.2">
      <c r="C390" s="40" t="s">
        <v>964</v>
      </c>
      <c r="D390" s="40" t="s">
        <v>1023</v>
      </c>
    </row>
    <row r="391" spans="1:4" x14ac:dyDescent="0.2">
      <c r="A391" s="9" t="s">
        <v>420</v>
      </c>
      <c r="B391" s="9">
        <v>3</v>
      </c>
      <c r="C391" s="9" t="s">
        <v>965</v>
      </c>
      <c r="D391" s="40" t="s">
        <v>1023</v>
      </c>
    </row>
    <row r="392" spans="1:4" ht="25.5" x14ac:dyDescent="0.2">
      <c r="B392" s="9">
        <v>4</v>
      </c>
      <c r="C392" s="9" t="s">
        <v>966</v>
      </c>
      <c r="D392" s="40" t="s">
        <v>1023</v>
      </c>
    </row>
    <row r="393" spans="1:4" x14ac:dyDescent="0.2">
      <c r="B393" s="9">
        <v>5</v>
      </c>
      <c r="C393" s="9" t="s">
        <v>967</v>
      </c>
      <c r="D393" s="40" t="s">
        <v>1023</v>
      </c>
    </row>
    <row r="394" spans="1:4" x14ac:dyDescent="0.2">
      <c r="C394" s="9" t="s">
        <v>968</v>
      </c>
      <c r="D394" s="40" t="s">
        <v>1023</v>
      </c>
    </row>
    <row r="395" spans="1:4" x14ac:dyDescent="0.2">
      <c r="B395" s="9">
        <v>6</v>
      </c>
      <c r="C395" s="9" t="s">
        <v>969</v>
      </c>
      <c r="D395" s="40" t="s">
        <v>1023</v>
      </c>
    </row>
    <row r="396" spans="1:4" x14ac:dyDescent="0.2">
      <c r="C396" s="9" t="s">
        <v>970</v>
      </c>
      <c r="D396" s="40" t="s">
        <v>1023</v>
      </c>
    </row>
    <row r="397" spans="1:4" ht="25.5" x14ac:dyDescent="0.2">
      <c r="B397" s="9">
        <v>7</v>
      </c>
      <c r="C397" s="9" t="s">
        <v>971</v>
      </c>
      <c r="D397" s="40" t="s">
        <v>1023</v>
      </c>
    </row>
    <row r="398" spans="1:4" ht="25.5" x14ac:dyDescent="0.2">
      <c r="C398" s="9" t="s">
        <v>972</v>
      </c>
      <c r="D398" s="40" t="s">
        <v>1023</v>
      </c>
    </row>
    <row r="399" spans="1:4" x14ac:dyDescent="0.2">
      <c r="B399" s="9">
        <v>8</v>
      </c>
      <c r="C399" s="9" t="s">
        <v>974</v>
      </c>
      <c r="D399" s="40" t="s">
        <v>1023</v>
      </c>
    </row>
    <row r="400" spans="1:4" x14ac:dyDescent="0.2">
      <c r="C400" s="9" t="s">
        <v>975</v>
      </c>
      <c r="D400" s="40" t="s">
        <v>1023</v>
      </c>
    </row>
    <row r="401" spans="1:4" x14ac:dyDescent="0.2">
      <c r="C401" s="9" t="s">
        <v>973</v>
      </c>
      <c r="D401" s="40" t="s">
        <v>1023</v>
      </c>
    </row>
    <row r="402" spans="1:4" x14ac:dyDescent="0.2">
      <c r="C402" s="9" t="s">
        <v>976</v>
      </c>
      <c r="D402" s="40" t="s">
        <v>1023</v>
      </c>
    </row>
    <row r="403" spans="1:4" x14ac:dyDescent="0.2">
      <c r="B403" s="9">
        <v>9</v>
      </c>
      <c r="C403" s="9" t="s">
        <v>978</v>
      </c>
      <c r="D403" s="40" t="s">
        <v>1023</v>
      </c>
    </row>
    <row r="404" spans="1:4" x14ac:dyDescent="0.2">
      <c r="C404" s="9" t="s">
        <v>977</v>
      </c>
      <c r="D404" s="40" t="s">
        <v>1023</v>
      </c>
    </row>
    <row r="405" spans="1:4" x14ac:dyDescent="0.2">
      <c r="B405" s="9">
        <v>10</v>
      </c>
      <c r="C405" s="9" t="s">
        <v>979</v>
      </c>
      <c r="D405" s="40" t="s">
        <v>1023</v>
      </c>
    </row>
    <row r="406" spans="1:4" ht="25.5" x14ac:dyDescent="0.2">
      <c r="C406" s="9" t="s">
        <v>980</v>
      </c>
      <c r="D406" s="40" t="s">
        <v>1023</v>
      </c>
    </row>
    <row r="407" spans="1:4" x14ac:dyDescent="0.2">
      <c r="A407" s="9" t="s">
        <v>432</v>
      </c>
      <c r="B407" s="9"/>
      <c r="D407" s="9"/>
    </row>
    <row r="408" spans="1:4" x14ac:dyDescent="0.2">
      <c r="A408" s="9" t="s">
        <v>435</v>
      </c>
      <c r="B408" s="9">
        <v>4</v>
      </c>
      <c r="C408" s="9" t="s">
        <v>981</v>
      </c>
      <c r="D408" s="40" t="s">
        <v>1023</v>
      </c>
    </row>
    <row r="409" spans="1:4" ht="25.5" x14ac:dyDescent="0.2">
      <c r="C409" s="9" t="s">
        <v>982</v>
      </c>
      <c r="D409" s="40" t="s">
        <v>1023</v>
      </c>
    </row>
    <row r="410" spans="1:4" x14ac:dyDescent="0.2">
      <c r="B410" s="9">
        <v>5</v>
      </c>
      <c r="C410" s="9" t="s">
        <v>983</v>
      </c>
      <c r="D410" s="40" t="s">
        <v>1023</v>
      </c>
    </row>
    <row r="411" spans="1:4" x14ac:dyDescent="0.2">
      <c r="C411" s="9" t="s">
        <v>984</v>
      </c>
      <c r="D411" s="40" t="s">
        <v>1023</v>
      </c>
    </row>
    <row r="412" spans="1:4" ht="25.5" x14ac:dyDescent="0.2">
      <c r="B412" s="9">
        <v>6</v>
      </c>
      <c r="C412" s="9" t="s">
        <v>986</v>
      </c>
      <c r="D412" s="40" t="s">
        <v>1023</v>
      </c>
    </row>
    <row r="413" spans="1:4" x14ac:dyDescent="0.2">
      <c r="C413" s="9" t="s">
        <v>985</v>
      </c>
      <c r="D413" s="40" t="s">
        <v>1023</v>
      </c>
    </row>
    <row r="414" spans="1:4" ht="25.5" x14ac:dyDescent="0.2">
      <c r="C414" s="9" t="s">
        <v>987</v>
      </c>
      <c r="D414" s="40" t="s">
        <v>1023</v>
      </c>
    </row>
    <row r="415" spans="1:4" ht="25.5" x14ac:dyDescent="0.2">
      <c r="B415" s="9">
        <v>7</v>
      </c>
      <c r="C415" s="9" t="s">
        <v>989</v>
      </c>
      <c r="D415" s="40" t="s">
        <v>1023</v>
      </c>
    </row>
    <row r="416" spans="1:4" x14ac:dyDescent="0.2">
      <c r="C416" s="9" t="s">
        <v>988</v>
      </c>
      <c r="D416" s="40" t="s">
        <v>1023</v>
      </c>
    </row>
    <row r="417" spans="1:4" x14ac:dyDescent="0.2">
      <c r="C417" s="9" t="s">
        <v>991</v>
      </c>
      <c r="D417" s="40" t="s">
        <v>1023</v>
      </c>
    </row>
    <row r="418" spans="1:4" x14ac:dyDescent="0.2">
      <c r="C418" s="9" t="s">
        <v>990</v>
      </c>
      <c r="D418" s="40" t="s">
        <v>1023</v>
      </c>
    </row>
    <row r="419" spans="1:4" x14ac:dyDescent="0.2">
      <c r="C419" s="9" t="s">
        <v>992</v>
      </c>
      <c r="D419" s="40" t="s">
        <v>1023</v>
      </c>
    </row>
    <row r="420" spans="1:4" x14ac:dyDescent="0.2">
      <c r="B420" s="9">
        <v>8</v>
      </c>
      <c r="C420" s="9" t="s">
        <v>993</v>
      </c>
      <c r="D420" s="40" t="s">
        <v>1023</v>
      </c>
    </row>
    <row r="421" spans="1:4" ht="25.5" x14ac:dyDescent="0.2">
      <c r="C421" s="9" t="s">
        <v>994</v>
      </c>
      <c r="D421" s="40" t="s">
        <v>1023</v>
      </c>
    </row>
    <row r="422" spans="1:4" x14ac:dyDescent="0.2">
      <c r="C422" s="9" t="s">
        <v>995</v>
      </c>
      <c r="D422" s="40" t="s">
        <v>1023</v>
      </c>
    </row>
    <row r="423" spans="1:4" x14ac:dyDescent="0.2">
      <c r="C423" s="9" t="s">
        <v>996</v>
      </c>
      <c r="D423" s="40" t="s">
        <v>1023</v>
      </c>
    </row>
    <row r="424" spans="1:4" x14ac:dyDescent="0.2">
      <c r="B424" s="9">
        <v>9</v>
      </c>
      <c r="C424" s="9" t="s">
        <v>997</v>
      </c>
      <c r="D424" s="40" t="s">
        <v>1023</v>
      </c>
    </row>
    <row r="425" spans="1:4" x14ac:dyDescent="0.2">
      <c r="C425" s="9" t="s">
        <v>998</v>
      </c>
      <c r="D425" s="40" t="s">
        <v>1023</v>
      </c>
    </row>
    <row r="426" spans="1:4" x14ac:dyDescent="0.2">
      <c r="C426" s="9" t="s">
        <v>999</v>
      </c>
      <c r="D426" s="40" t="s">
        <v>1023</v>
      </c>
    </row>
    <row r="427" spans="1:4" x14ac:dyDescent="0.2">
      <c r="B427" s="9">
        <v>10</v>
      </c>
      <c r="C427" s="9" t="s">
        <v>1000</v>
      </c>
      <c r="D427" s="40" t="s">
        <v>1023</v>
      </c>
    </row>
    <row r="428" spans="1:4" ht="25.5" x14ac:dyDescent="0.2">
      <c r="A428" s="9" t="s">
        <v>1001</v>
      </c>
      <c r="B428" s="9">
        <v>4</v>
      </c>
      <c r="C428" s="9" t="s">
        <v>1002</v>
      </c>
      <c r="D428" s="40" t="s">
        <v>1023</v>
      </c>
    </row>
    <row r="429" spans="1:4" ht="25.5" x14ac:dyDescent="0.2">
      <c r="B429" s="9">
        <v>5</v>
      </c>
      <c r="C429" s="9" t="s">
        <v>1005</v>
      </c>
      <c r="D429" s="40" t="s">
        <v>1023</v>
      </c>
    </row>
    <row r="430" spans="1:4" x14ac:dyDescent="0.2">
      <c r="C430" s="9" t="s">
        <v>1004</v>
      </c>
      <c r="D430" s="40" t="s">
        <v>1023</v>
      </c>
    </row>
    <row r="431" spans="1:4" x14ac:dyDescent="0.2">
      <c r="C431" s="9" t="s">
        <v>1003</v>
      </c>
      <c r="D431" s="40" t="s">
        <v>1023</v>
      </c>
    </row>
    <row r="432" spans="1:4" x14ac:dyDescent="0.2">
      <c r="B432" s="9">
        <v>6</v>
      </c>
      <c r="C432" s="9" t="s">
        <v>1006</v>
      </c>
      <c r="D432" s="40" t="s">
        <v>1023</v>
      </c>
    </row>
    <row r="433" spans="1:4" x14ac:dyDescent="0.2">
      <c r="C433" s="9" t="s">
        <v>1009</v>
      </c>
      <c r="D433" s="40" t="s">
        <v>1023</v>
      </c>
    </row>
    <row r="434" spans="1:4" x14ac:dyDescent="0.2">
      <c r="C434" s="9" t="s">
        <v>1008</v>
      </c>
      <c r="D434" s="40" t="s">
        <v>1023</v>
      </c>
    </row>
    <row r="435" spans="1:4" x14ac:dyDescent="0.2">
      <c r="C435" s="9" t="s">
        <v>1007</v>
      </c>
      <c r="D435" s="40" t="s">
        <v>1023</v>
      </c>
    </row>
    <row r="436" spans="1:4" x14ac:dyDescent="0.2">
      <c r="B436" s="9">
        <v>7</v>
      </c>
      <c r="C436" s="9" t="s">
        <v>1011</v>
      </c>
      <c r="D436" s="40" t="s">
        <v>1023</v>
      </c>
    </row>
    <row r="437" spans="1:4" x14ac:dyDescent="0.2">
      <c r="C437" s="9" t="s">
        <v>1010</v>
      </c>
      <c r="D437" s="40" t="s">
        <v>1023</v>
      </c>
    </row>
    <row r="438" spans="1:4" ht="25.5" x14ac:dyDescent="0.2">
      <c r="B438" s="9">
        <v>8</v>
      </c>
      <c r="C438" s="9" t="s">
        <v>1012</v>
      </c>
      <c r="D438" s="40" t="s">
        <v>1023</v>
      </c>
    </row>
    <row r="439" spans="1:4" ht="25.5" x14ac:dyDescent="0.2">
      <c r="C439" s="9" t="s">
        <v>1013</v>
      </c>
      <c r="D439" s="40" t="s">
        <v>1023</v>
      </c>
    </row>
    <row r="440" spans="1:4" ht="25.5" x14ac:dyDescent="0.2">
      <c r="B440" s="9">
        <v>9</v>
      </c>
      <c r="C440" s="9" t="s">
        <v>1014</v>
      </c>
      <c r="D440" s="40" t="s">
        <v>1023</v>
      </c>
    </row>
    <row r="441" spans="1:4" ht="25.5" x14ac:dyDescent="0.2">
      <c r="C441" s="9" t="s">
        <v>1015</v>
      </c>
      <c r="D441" s="40" t="s">
        <v>1023</v>
      </c>
    </row>
    <row r="442" spans="1:4" x14ac:dyDescent="0.2">
      <c r="B442" s="9">
        <v>10</v>
      </c>
      <c r="C442" s="9" t="s">
        <v>1016</v>
      </c>
      <c r="D442" s="40" t="s">
        <v>1023</v>
      </c>
    </row>
    <row r="443" spans="1:4" x14ac:dyDescent="0.2">
      <c r="A443" s="2"/>
      <c r="B443" s="2"/>
      <c r="C443" s="2"/>
    </row>
    <row r="444" spans="1:4" x14ac:dyDescent="0.2">
      <c r="A444" s="2"/>
      <c r="B444" s="2"/>
      <c r="C444" s="2"/>
    </row>
    <row r="445" spans="1:4" x14ac:dyDescent="0.2">
      <c r="B445" s="48"/>
    </row>
    <row r="446" spans="1:4" x14ac:dyDescent="0.2">
      <c r="B446" s="48"/>
    </row>
    <row r="447" spans="1:4" x14ac:dyDescent="0.2">
      <c r="B447" s="48"/>
    </row>
    <row r="448" spans="1:4" x14ac:dyDescent="0.2">
      <c r="B448" s="48"/>
    </row>
    <row r="449" spans="2:2" x14ac:dyDescent="0.2">
      <c r="B449" s="48"/>
    </row>
    <row r="450" spans="2:2" x14ac:dyDescent="0.2">
      <c r="B450" s="48"/>
    </row>
    <row r="451" spans="2:2" x14ac:dyDescent="0.2">
      <c r="B451" s="48"/>
    </row>
    <row r="452" spans="2:2" x14ac:dyDescent="0.2">
      <c r="B452" s="48"/>
    </row>
    <row r="453" spans="2:2" x14ac:dyDescent="0.2">
      <c r="B453" s="48"/>
    </row>
    <row r="454" spans="2:2" x14ac:dyDescent="0.2">
      <c r="B454" s="48"/>
    </row>
    <row r="455" spans="2:2" x14ac:dyDescent="0.2">
      <c r="B455" s="48"/>
    </row>
    <row r="456" spans="2:2" x14ac:dyDescent="0.2">
      <c r="B456" s="48"/>
    </row>
    <row r="457" spans="2:2" x14ac:dyDescent="0.2">
      <c r="B457" s="48"/>
    </row>
    <row r="458" spans="2:2" x14ac:dyDescent="0.2">
      <c r="B458" s="48"/>
    </row>
    <row r="459" spans="2:2" x14ac:dyDescent="0.2">
      <c r="B459" s="48"/>
    </row>
    <row r="460" spans="2:2" x14ac:dyDescent="0.2">
      <c r="B460" s="48"/>
    </row>
    <row r="461" spans="2:2" x14ac:dyDescent="0.2">
      <c r="B461" s="48"/>
    </row>
    <row r="462" spans="2:2" x14ac:dyDescent="0.2">
      <c r="B462" s="48"/>
    </row>
    <row r="463" spans="2:2" x14ac:dyDescent="0.2">
      <c r="B463" s="48"/>
    </row>
    <row r="464" spans="2:2" x14ac:dyDescent="0.2">
      <c r="B464" s="48"/>
    </row>
    <row r="465" spans="2:2" x14ac:dyDescent="0.2">
      <c r="B465" s="48"/>
    </row>
    <row r="466" spans="2:2" x14ac:dyDescent="0.2">
      <c r="B466" s="48"/>
    </row>
    <row r="467" spans="2:2" x14ac:dyDescent="0.2">
      <c r="B467" s="48"/>
    </row>
    <row r="468" spans="2:2" x14ac:dyDescent="0.2">
      <c r="B468" s="48"/>
    </row>
    <row r="469" spans="2:2" x14ac:dyDescent="0.2">
      <c r="B469" s="48"/>
    </row>
    <row r="470" spans="2:2" x14ac:dyDescent="0.2">
      <c r="B470" s="48"/>
    </row>
    <row r="471" spans="2:2" x14ac:dyDescent="0.2">
      <c r="B471" s="48"/>
    </row>
    <row r="472" spans="2:2" x14ac:dyDescent="0.2">
      <c r="B472" s="48"/>
    </row>
    <row r="473" spans="2:2" x14ac:dyDescent="0.2">
      <c r="B473" s="48"/>
    </row>
    <row r="474" spans="2:2" x14ac:dyDescent="0.2">
      <c r="B474" s="48"/>
    </row>
    <row r="475" spans="2:2" x14ac:dyDescent="0.2">
      <c r="B475" s="48"/>
    </row>
    <row r="476" spans="2:2" x14ac:dyDescent="0.2">
      <c r="B476" s="48"/>
    </row>
    <row r="477" spans="2:2" x14ac:dyDescent="0.2">
      <c r="B477" s="48"/>
    </row>
    <row r="478" spans="2:2" x14ac:dyDescent="0.2">
      <c r="B478" s="48"/>
    </row>
    <row r="479" spans="2:2" x14ac:dyDescent="0.2">
      <c r="B479" s="48"/>
    </row>
    <row r="480" spans="2:2" x14ac:dyDescent="0.2">
      <c r="B480" s="48"/>
    </row>
    <row r="481" spans="2:2" x14ac:dyDescent="0.2">
      <c r="B481" s="48"/>
    </row>
    <row r="482" spans="2:2" x14ac:dyDescent="0.2">
      <c r="B482" s="48"/>
    </row>
    <row r="483" spans="2:2" x14ac:dyDescent="0.2">
      <c r="B483" s="48"/>
    </row>
    <row r="484" spans="2:2" x14ac:dyDescent="0.2">
      <c r="B484" s="48"/>
    </row>
    <row r="485" spans="2:2" x14ac:dyDescent="0.2">
      <c r="B485" s="48"/>
    </row>
    <row r="486" spans="2:2" x14ac:dyDescent="0.2">
      <c r="B486" s="48"/>
    </row>
    <row r="487" spans="2:2" x14ac:dyDescent="0.2">
      <c r="B487" s="48"/>
    </row>
    <row r="488" spans="2:2" x14ac:dyDescent="0.2">
      <c r="B488" s="48"/>
    </row>
    <row r="489" spans="2:2" x14ac:dyDescent="0.2">
      <c r="B489" s="48"/>
    </row>
    <row r="490" spans="2:2" x14ac:dyDescent="0.2">
      <c r="B490" s="48"/>
    </row>
    <row r="491" spans="2:2" x14ac:dyDescent="0.2">
      <c r="B491" s="48"/>
    </row>
    <row r="492" spans="2:2" x14ac:dyDescent="0.2">
      <c r="B492" s="48"/>
    </row>
    <row r="493" spans="2:2" x14ac:dyDescent="0.2">
      <c r="B493" s="48"/>
    </row>
    <row r="494" spans="2:2" x14ac:dyDescent="0.2">
      <c r="B494" s="48"/>
    </row>
    <row r="495" spans="2:2" x14ac:dyDescent="0.2">
      <c r="B495" s="48"/>
    </row>
    <row r="496" spans="2:2" x14ac:dyDescent="0.2">
      <c r="B496" s="48"/>
    </row>
    <row r="497" spans="2:2" x14ac:dyDescent="0.2">
      <c r="B497" s="48"/>
    </row>
    <row r="498" spans="2:2" x14ac:dyDescent="0.2">
      <c r="B498" s="48"/>
    </row>
    <row r="499" spans="2:2" x14ac:dyDescent="0.2">
      <c r="B499" s="48"/>
    </row>
    <row r="500" spans="2:2" x14ac:dyDescent="0.2">
      <c r="B500" s="48"/>
    </row>
    <row r="501" spans="2:2" x14ac:dyDescent="0.2">
      <c r="B501" s="48"/>
    </row>
    <row r="502" spans="2:2" x14ac:dyDescent="0.2">
      <c r="B502" s="48"/>
    </row>
    <row r="503" spans="2:2" x14ac:dyDescent="0.2">
      <c r="B503" s="48"/>
    </row>
    <row r="504" spans="2:2" x14ac:dyDescent="0.2">
      <c r="B504" s="48"/>
    </row>
    <row r="505" spans="2:2" x14ac:dyDescent="0.2">
      <c r="B505" s="48"/>
    </row>
    <row r="506" spans="2:2" x14ac:dyDescent="0.2">
      <c r="B506" s="48"/>
    </row>
    <row r="507" spans="2:2" x14ac:dyDescent="0.2">
      <c r="B507" s="48"/>
    </row>
    <row r="508" spans="2:2" x14ac:dyDescent="0.2">
      <c r="B508" s="48"/>
    </row>
    <row r="509" spans="2:2" x14ac:dyDescent="0.2">
      <c r="B509" s="48"/>
    </row>
    <row r="510" spans="2:2" x14ac:dyDescent="0.2">
      <c r="B510" s="48"/>
    </row>
    <row r="511" spans="2:2" x14ac:dyDescent="0.2">
      <c r="B511" s="48"/>
    </row>
    <row r="512" spans="2:2" x14ac:dyDescent="0.2">
      <c r="B512" s="48"/>
    </row>
    <row r="513" spans="2:2" x14ac:dyDescent="0.2">
      <c r="B513" s="48"/>
    </row>
    <row r="514" spans="2:2" x14ac:dyDescent="0.2">
      <c r="B514" s="48"/>
    </row>
    <row r="515" spans="2:2" x14ac:dyDescent="0.2">
      <c r="B515" s="48"/>
    </row>
    <row r="516" spans="2:2" x14ac:dyDescent="0.2">
      <c r="B516" s="48"/>
    </row>
    <row r="517" spans="2:2" x14ac:dyDescent="0.2">
      <c r="B517" s="48"/>
    </row>
    <row r="518" spans="2:2" x14ac:dyDescent="0.2">
      <c r="B518" s="48"/>
    </row>
    <row r="519" spans="2:2" x14ac:dyDescent="0.2">
      <c r="B519" s="48"/>
    </row>
    <row r="520" spans="2:2" x14ac:dyDescent="0.2">
      <c r="B520" s="48"/>
    </row>
    <row r="521" spans="2:2" x14ac:dyDescent="0.2">
      <c r="B521" s="48"/>
    </row>
    <row r="522" spans="2:2" x14ac:dyDescent="0.2">
      <c r="B522" s="48"/>
    </row>
    <row r="523" spans="2:2" x14ac:dyDescent="0.2">
      <c r="B523" s="48"/>
    </row>
    <row r="524" spans="2:2" x14ac:dyDescent="0.2">
      <c r="B524" s="48"/>
    </row>
    <row r="525" spans="2:2" x14ac:dyDescent="0.2">
      <c r="B525" s="48"/>
    </row>
    <row r="526" spans="2:2" x14ac:dyDescent="0.2">
      <c r="B526" s="48"/>
    </row>
    <row r="527" spans="2:2" x14ac:dyDescent="0.2">
      <c r="B527" s="48"/>
    </row>
    <row r="528" spans="2:2" x14ac:dyDescent="0.2">
      <c r="B528" s="48"/>
    </row>
    <row r="529" spans="2:2" x14ac:dyDescent="0.2">
      <c r="B529" s="48"/>
    </row>
    <row r="530" spans="2:2" x14ac:dyDescent="0.2">
      <c r="B530" s="48"/>
    </row>
    <row r="531" spans="2:2" x14ac:dyDescent="0.2">
      <c r="B531" s="48"/>
    </row>
    <row r="532" spans="2:2" x14ac:dyDescent="0.2">
      <c r="B532" s="48"/>
    </row>
    <row r="533" spans="2:2" x14ac:dyDescent="0.2">
      <c r="B533" s="48"/>
    </row>
    <row r="534" spans="2:2" x14ac:dyDescent="0.2">
      <c r="B534" s="48"/>
    </row>
    <row r="535" spans="2:2" x14ac:dyDescent="0.2">
      <c r="B535" s="48"/>
    </row>
    <row r="536" spans="2:2" x14ac:dyDescent="0.2">
      <c r="B536" s="48"/>
    </row>
    <row r="537" spans="2:2" x14ac:dyDescent="0.2">
      <c r="B537" s="48"/>
    </row>
    <row r="538" spans="2:2" x14ac:dyDescent="0.2">
      <c r="B538" s="48"/>
    </row>
    <row r="539" spans="2:2" x14ac:dyDescent="0.2">
      <c r="B539" s="48"/>
    </row>
    <row r="540" spans="2:2" x14ac:dyDescent="0.2">
      <c r="B540" s="48"/>
    </row>
    <row r="541" spans="2:2" x14ac:dyDescent="0.2">
      <c r="B541" s="48"/>
    </row>
    <row r="542" spans="2:2" x14ac:dyDescent="0.2">
      <c r="B542" s="48"/>
    </row>
    <row r="543" spans="2:2" x14ac:dyDescent="0.2">
      <c r="B543" s="48"/>
    </row>
    <row r="544" spans="2:2" x14ac:dyDescent="0.2">
      <c r="B544" s="48"/>
    </row>
    <row r="545" spans="2:2" x14ac:dyDescent="0.2">
      <c r="B545" s="48"/>
    </row>
    <row r="546" spans="2:2" x14ac:dyDescent="0.2">
      <c r="B546" s="48"/>
    </row>
    <row r="547" spans="2:2" x14ac:dyDescent="0.2">
      <c r="B547" s="48"/>
    </row>
    <row r="548" spans="2:2" x14ac:dyDescent="0.2">
      <c r="B548" s="48"/>
    </row>
    <row r="549" spans="2:2" x14ac:dyDescent="0.2">
      <c r="B549" s="48"/>
    </row>
    <row r="550" spans="2:2" x14ac:dyDescent="0.2">
      <c r="B550" s="48"/>
    </row>
    <row r="551" spans="2:2" x14ac:dyDescent="0.2">
      <c r="B551" s="48"/>
    </row>
    <row r="552" spans="2:2" x14ac:dyDescent="0.2">
      <c r="B552" s="48"/>
    </row>
    <row r="553" spans="2:2" x14ac:dyDescent="0.2">
      <c r="B553" s="48"/>
    </row>
    <row r="554" spans="2:2" x14ac:dyDescent="0.2">
      <c r="B554" s="48"/>
    </row>
    <row r="555" spans="2:2" x14ac:dyDescent="0.2">
      <c r="B555" s="48"/>
    </row>
    <row r="556" spans="2:2" x14ac:dyDescent="0.2">
      <c r="B556" s="48"/>
    </row>
    <row r="557" spans="2:2" x14ac:dyDescent="0.2">
      <c r="B557" s="48"/>
    </row>
    <row r="558" spans="2:2" x14ac:dyDescent="0.2">
      <c r="B558" s="48"/>
    </row>
    <row r="559" spans="2:2" x14ac:dyDescent="0.2">
      <c r="B559" s="48"/>
    </row>
    <row r="560" spans="2:2" x14ac:dyDescent="0.2">
      <c r="B560" s="48"/>
    </row>
    <row r="561" spans="2:2" x14ac:dyDescent="0.2">
      <c r="B561" s="48"/>
    </row>
    <row r="562" spans="2:2" x14ac:dyDescent="0.2">
      <c r="B562" s="48"/>
    </row>
    <row r="563" spans="2:2" x14ac:dyDescent="0.2">
      <c r="B563" s="48"/>
    </row>
    <row r="564" spans="2:2" x14ac:dyDescent="0.2">
      <c r="B564" s="48"/>
    </row>
    <row r="565" spans="2:2" x14ac:dyDescent="0.2">
      <c r="B565" s="48"/>
    </row>
    <row r="566" spans="2:2" x14ac:dyDescent="0.2">
      <c r="B566" s="48"/>
    </row>
    <row r="567" spans="2:2" x14ac:dyDescent="0.2">
      <c r="B567" s="48"/>
    </row>
    <row r="568" spans="2:2" x14ac:dyDescent="0.2">
      <c r="B568" s="48"/>
    </row>
    <row r="569" spans="2:2" x14ac:dyDescent="0.2">
      <c r="B569" s="48"/>
    </row>
    <row r="570" spans="2:2" x14ac:dyDescent="0.2">
      <c r="B570" s="48"/>
    </row>
    <row r="571" spans="2:2" x14ac:dyDescent="0.2">
      <c r="B571" s="48"/>
    </row>
    <row r="572" spans="2:2" x14ac:dyDescent="0.2">
      <c r="B572" s="48"/>
    </row>
    <row r="573" spans="2:2" x14ac:dyDescent="0.2">
      <c r="B573" s="48"/>
    </row>
    <row r="574" spans="2:2" x14ac:dyDescent="0.2">
      <c r="B574" s="48"/>
    </row>
    <row r="575" spans="2:2" x14ac:dyDescent="0.2">
      <c r="B575" s="48"/>
    </row>
    <row r="576" spans="2:2" x14ac:dyDescent="0.2">
      <c r="B576" s="48"/>
    </row>
    <row r="577" spans="2:2" x14ac:dyDescent="0.2">
      <c r="B577" s="48"/>
    </row>
    <row r="578" spans="2:2" x14ac:dyDescent="0.2">
      <c r="B578" s="48"/>
    </row>
    <row r="579" spans="2:2" x14ac:dyDescent="0.2">
      <c r="B579" s="48"/>
    </row>
    <row r="580" spans="2:2" x14ac:dyDescent="0.2">
      <c r="B580" s="48"/>
    </row>
    <row r="581" spans="2:2" x14ac:dyDescent="0.2">
      <c r="B581" s="48"/>
    </row>
    <row r="582" spans="2:2" x14ac:dyDescent="0.2">
      <c r="B582" s="48"/>
    </row>
    <row r="583" spans="2:2" x14ac:dyDescent="0.2">
      <c r="B583" s="48"/>
    </row>
    <row r="584" spans="2:2" x14ac:dyDescent="0.2">
      <c r="B584" s="48"/>
    </row>
    <row r="585" spans="2:2" x14ac:dyDescent="0.2">
      <c r="B585" s="48"/>
    </row>
    <row r="586" spans="2:2" x14ac:dyDescent="0.2">
      <c r="B586" s="48"/>
    </row>
    <row r="587" spans="2:2" x14ac:dyDescent="0.2">
      <c r="B587" s="48"/>
    </row>
    <row r="588" spans="2:2" x14ac:dyDescent="0.2">
      <c r="B588" s="48"/>
    </row>
    <row r="589" spans="2:2" x14ac:dyDescent="0.2">
      <c r="B589" s="48"/>
    </row>
    <row r="590" spans="2:2" x14ac:dyDescent="0.2">
      <c r="B590" s="48"/>
    </row>
    <row r="591" spans="2:2" x14ac:dyDescent="0.2">
      <c r="B591" s="48"/>
    </row>
    <row r="592" spans="2:2" x14ac:dyDescent="0.2">
      <c r="B592" s="48"/>
    </row>
    <row r="593" spans="2:2" x14ac:dyDescent="0.2">
      <c r="B593" s="48"/>
    </row>
    <row r="594" spans="2:2" x14ac:dyDescent="0.2">
      <c r="B594" s="48"/>
    </row>
    <row r="595" spans="2:2" x14ac:dyDescent="0.2">
      <c r="B595" s="48"/>
    </row>
    <row r="596" spans="2:2" x14ac:dyDescent="0.2">
      <c r="B596" s="48"/>
    </row>
    <row r="597" spans="2:2" x14ac:dyDescent="0.2">
      <c r="B597" s="48"/>
    </row>
    <row r="598" spans="2:2" x14ac:dyDescent="0.2">
      <c r="B598" s="48"/>
    </row>
    <row r="599" spans="2:2" x14ac:dyDescent="0.2">
      <c r="B599" s="48"/>
    </row>
    <row r="600" spans="2:2" x14ac:dyDescent="0.2">
      <c r="B600" s="48"/>
    </row>
    <row r="601" spans="2:2" x14ac:dyDescent="0.2">
      <c r="B601" s="48"/>
    </row>
    <row r="602" spans="2:2" x14ac:dyDescent="0.2">
      <c r="B602" s="48"/>
    </row>
    <row r="603" spans="2:2" x14ac:dyDescent="0.2">
      <c r="B603" s="48"/>
    </row>
    <row r="604" spans="2:2" x14ac:dyDescent="0.2">
      <c r="B604" s="48"/>
    </row>
    <row r="605" spans="2:2" x14ac:dyDescent="0.2">
      <c r="B605" s="48"/>
    </row>
    <row r="606" spans="2:2" x14ac:dyDescent="0.2">
      <c r="B606" s="48"/>
    </row>
    <row r="607" spans="2:2" x14ac:dyDescent="0.2">
      <c r="B607" s="48"/>
    </row>
    <row r="608" spans="2:2" x14ac:dyDescent="0.2">
      <c r="B608" s="48"/>
    </row>
    <row r="609" spans="2:2" x14ac:dyDescent="0.2">
      <c r="B609" s="48"/>
    </row>
    <row r="610" spans="2:2" x14ac:dyDescent="0.2">
      <c r="B610" s="48"/>
    </row>
    <row r="611" spans="2:2" x14ac:dyDescent="0.2">
      <c r="B611" s="48"/>
    </row>
    <row r="612" spans="2:2" x14ac:dyDescent="0.2">
      <c r="B612" s="48"/>
    </row>
    <row r="613" spans="2:2" x14ac:dyDescent="0.2">
      <c r="B613" s="48"/>
    </row>
    <row r="614" spans="2:2" x14ac:dyDescent="0.2">
      <c r="B614" s="48"/>
    </row>
    <row r="615" spans="2:2" x14ac:dyDescent="0.2">
      <c r="B615" s="48"/>
    </row>
    <row r="616" spans="2:2" x14ac:dyDescent="0.2">
      <c r="B616" s="48"/>
    </row>
    <row r="617" spans="2:2" x14ac:dyDescent="0.2">
      <c r="B617" s="48"/>
    </row>
    <row r="618" spans="2:2" x14ac:dyDescent="0.2">
      <c r="B618" s="48"/>
    </row>
    <row r="619" spans="2:2" x14ac:dyDescent="0.2">
      <c r="B619" s="48"/>
    </row>
    <row r="620" spans="2:2" x14ac:dyDescent="0.2">
      <c r="B620" s="48"/>
    </row>
    <row r="621" spans="2:2" x14ac:dyDescent="0.2">
      <c r="B621" s="48"/>
    </row>
    <row r="622" spans="2:2" x14ac:dyDescent="0.2">
      <c r="B622" s="48"/>
    </row>
    <row r="623" spans="2:2" x14ac:dyDescent="0.2">
      <c r="B623" s="48"/>
    </row>
    <row r="624" spans="2:2" x14ac:dyDescent="0.2">
      <c r="B624" s="48"/>
    </row>
    <row r="625" spans="2:2" x14ac:dyDescent="0.2">
      <c r="B625" s="48"/>
    </row>
    <row r="626" spans="2:2" x14ac:dyDescent="0.2">
      <c r="B626" s="48"/>
    </row>
    <row r="627" spans="2:2" x14ac:dyDescent="0.2">
      <c r="B627" s="48"/>
    </row>
    <row r="628" spans="2:2" x14ac:dyDescent="0.2">
      <c r="B628" s="48"/>
    </row>
    <row r="629" spans="2:2" x14ac:dyDescent="0.2">
      <c r="B629" s="48"/>
    </row>
    <row r="630" spans="2:2" x14ac:dyDescent="0.2">
      <c r="B630" s="48"/>
    </row>
    <row r="631" spans="2:2" x14ac:dyDescent="0.2">
      <c r="B631" s="48"/>
    </row>
    <row r="632" spans="2:2" x14ac:dyDescent="0.2">
      <c r="B632" s="48"/>
    </row>
    <row r="633" spans="2:2" x14ac:dyDescent="0.2">
      <c r="B633" s="48"/>
    </row>
    <row r="634" spans="2:2" x14ac:dyDescent="0.2">
      <c r="B634" s="48"/>
    </row>
    <row r="635" spans="2:2" x14ac:dyDescent="0.2">
      <c r="B635" s="48"/>
    </row>
    <row r="636" spans="2:2" x14ac:dyDescent="0.2">
      <c r="B636" s="48"/>
    </row>
    <row r="637" spans="2:2" x14ac:dyDescent="0.2">
      <c r="B637" s="48"/>
    </row>
    <row r="638" spans="2:2" x14ac:dyDescent="0.2">
      <c r="B638" s="48"/>
    </row>
    <row r="639" spans="2:2" x14ac:dyDescent="0.2">
      <c r="B639" s="48"/>
    </row>
    <row r="640" spans="2:2" x14ac:dyDescent="0.2">
      <c r="B640" s="48"/>
    </row>
    <row r="641" spans="2:2" x14ac:dyDescent="0.2">
      <c r="B641" s="48"/>
    </row>
    <row r="642" spans="2:2" x14ac:dyDescent="0.2">
      <c r="B642" s="48"/>
    </row>
    <row r="643" spans="2:2" x14ac:dyDescent="0.2">
      <c r="B643" s="48"/>
    </row>
    <row r="644" spans="2:2" x14ac:dyDescent="0.2">
      <c r="B644" s="48"/>
    </row>
    <row r="645" spans="2:2" x14ac:dyDescent="0.2">
      <c r="B645" s="48"/>
    </row>
    <row r="646" spans="2:2" x14ac:dyDescent="0.2">
      <c r="B646" s="48"/>
    </row>
    <row r="647" spans="2:2" x14ac:dyDescent="0.2">
      <c r="B647" s="48"/>
    </row>
    <row r="648" spans="2:2" x14ac:dyDescent="0.2">
      <c r="B648" s="48"/>
    </row>
    <row r="649" spans="2:2" x14ac:dyDescent="0.2">
      <c r="B649" s="48"/>
    </row>
    <row r="650" spans="2:2" x14ac:dyDescent="0.2">
      <c r="B650" s="48"/>
    </row>
    <row r="651" spans="2:2" x14ac:dyDescent="0.2">
      <c r="B651" s="48"/>
    </row>
    <row r="652" spans="2:2" x14ac:dyDescent="0.2">
      <c r="B652" s="48"/>
    </row>
    <row r="653" spans="2:2" x14ac:dyDescent="0.2">
      <c r="B653" s="48"/>
    </row>
    <row r="654" spans="2:2" x14ac:dyDescent="0.2">
      <c r="B654" s="48"/>
    </row>
    <row r="655" spans="2:2" x14ac:dyDescent="0.2">
      <c r="B655" s="48"/>
    </row>
    <row r="656" spans="2:2" x14ac:dyDescent="0.2">
      <c r="B656" s="48"/>
    </row>
    <row r="657" spans="2:2" x14ac:dyDescent="0.2">
      <c r="B657" s="48"/>
    </row>
    <row r="658" spans="2:2" x14ac:dyDescent="0.2">
      <c r="B658" s="48"/>
    </row>
    <row r="659" spans="2:2" x14ac:dyDescent="0.2">
      <c r="B659" s="48"/>
    </row>
    <row r="660" spans="2:2" x14ac:dyDescent="0.2">
      <c r="B660" s="48"/>
    </row>
    <row r="661" spans="2:2" x14ac:dyDescent="0.2">
      <c r="B661" s="48"/>
    </row>
    <row r="662" spans="2:2" x14ac:dyDescent="0.2">
      <c r="B662" s="48"/>
    </row>
    <row r="663" spans="2:2" x14ac:dyDescent="0.2">
      <c r="B663" s="48"/>
    </row>
    <row r="664" spans="2:2" x14ac:dyDescent="0.2">
      <c r="B664" s="48"/>
    </row>
    <row r="665" spans="2:2" x14ac:dyDescent="0.2">
      <c r="B665" s="48"/>
    </row>
    <row r="666" spans="2:2" x14ac:dyDescent="0.2">
      <c r="B666" s="48"/>
    </row>
    <row r="667" spans="2:2" x14ac:dyDescent="0.2">
      <c r="B667" s="48"/>
    </row>
    <row r="668" spans="2:2" x14ac:dyDescent="0.2">
      <c r="B668" s="48"/>
    </row>
    <row r="669" spans="2:2" x14ac:dyDescent="0.2">
      <c r="B669" s="48"/>
    </row>
    <row r="670" spans="2:2" x14ac:dyDescent="0.2">
      <c r="B670" s="48"/>
    </row>
    <row r="671" spans="2:2" x14ac:dyDescent="0.2">
      <c r="B671" s="48"/>
    </row>
    <row r="672" spans="2:2" x14ac:dyDescent="0.2">
      <c r="B672" s="48"/>
    </row>
    <row r="673" spans="2:2" x14ac:dyDescent="0.2">
      <c r="B673" s="48"/>
    </row>
    <row r="674" spans="2:2" x14ac:dyDescent="0.2">
      <c r="B674" s="48"/>
    </row>
    <row r="675" spans="2:2" x14ac:dyDescent="0.2">
      <c r="B675" s="48"/>
    </row>
    <row r="676" spans="2:2" x14ac:dyDescent="0.2">
      <c r="B676" s="48"/>
    </row>
    <row r="677" spans="2:2" x14ac:dyDescent="0.2">
      <c r="B677" s="48"/>
    </row>
    <row r="678" spans="2:2" x14ac:dyDescent="0.2">
      <c r="B678" s="48"/>
    </row>
    <row r="679" spans="2:2" x14ac:dyDescent="0.2">
      <c r="B679" s="48"/>
    </row>
    <row r="680" spans="2:2" x14ac:dyDescent="0.2">
      <c r="B680" s="48"/>
    </row>
    <row r="681" spans="2:2" x14ac:dyDescent="0.2">
      <c r="B681" s="48"/>
    </row>
    <row r="682" spans="2:2" x14ac:dyDescent="0.2">
      <c r="B682" s="48"/>
    </row>
    <row r="683" spans="2:2" x14ac:dyDescent="0.2">
      <c r="B683" s="48"/>
    </row>
    <row r="684" spans="2:2" x14ac:dyDescent="0.2">
      <c r="B684" s="48"/>
    </row>
    <row r="685" spans="2:2" x14ac:dyDescent="0.2">
      <c r="B685" s="48"/>
    </row>
    <row r="686" spans="2:2" x14ac:dyDescent="0.2">
      <c r="B686" s="48"/>
    </row>
    <row r="687" spans="2:2" x14ac:dyDescent="0.2">
      <c r="B687" s="48"/>
    </row>
    <row r="688" spans="2:2" x14ac:dyDescent="0.2">
      <c r="B688" s="48"/>
    </row>
    <row r="689" spans="2:2" x14ac:dyDescent="0.2">
      <c r="B689" s="48"/>
    </row>
    <row r="690" spans="2:2" x14ac:dyDescent="0.2">
      <c r="B690" s="48"/>
    </row>
    <row r="691" spans="2:2" x14ac:dyDescent="0.2">
      <c r="B691" s="48"/>
    </row>
    <row r="692" spans="2:2" x14ac:dyDescent="0.2">
      <c r="B692" s="48"/>
    </row>
    <row r="693" spans="2:2" x14ac:dyDescent="0.2">
      <c r="B693" s="48"/>
    </row>
    <row r="694" spans="2:2" x14ac:dyDescent="0.2">
      <c r="B694" s="48"/>
    </row>
    <row r="695" spans="2:2" x14ac:dyDescent="0.2">
      <c r="B695" s="48"/>
    </row>
    <row r="696" spans="2:2" x14ac:dyDescent="0.2">
      <c r="B696" s="48"/>
    </row>
    <row r="697" spans="2:2" x14ac:dyDescent="0.2">
      <c r="B697" s="48"/>
    </row>
    <row r="698" spans="2:2" x14ac:dyDescent="0.2">
      <c r="B698" s="48"/>
    </row>
    <row r="699" spans="2:2" x14ac:dyDescent="0.2">
      <c r="B699" s="48"/>
    </row>
    <row r="700" spans="2:2" x14ac:dyDescent="0.2">
      <c r="B700" s="48"/>
    </row>
    <row r="701" spans="2:2" x14ac:dyDescent="0.2">
      <c r="B701" s="48"/>
    </row>
    <row r="702" spans="2:2" x14ac:dyDescent="0.2">
      <c r="B702" s="48"/>
    </row>
    <row r="703" spans="2:2" x14ac:dyDescent="0.2">
      <c r="B703" s="48"/>
    </row>
    <row r="704" spans="2:2" x14ac:dyDescent="0.2">
      <c r="B704" s="48"/>
    </row>
    <row r="705" spans="2:2" x14ac:dyDescent="0.2">
      <c r="B705" s="48"/>
    </row>
    <row r="706" spans="2:2" x14ac:dyDescent="0.2">
      <c r="B706" s="48"/>
    </row>
    <row r="707" spans="2:2" x14ac:dyDescent="0.2">
      <c r="B707" s="48"/>
    </row>
    <row r="708" spans="2:2" x14ac:dyDescent="0.2">
      <c r="B708" s="48"/>
    </row>
    <row r="709" spans="2:2" x14ac:dyDescent="0.2">
      <c r="B709" s="48"/>
    </row>
    <row r="710" spans="2:2" x14ac:dyDescent="0.2">
      <c r="B710" s="48"/>
    </row>
    <row r="711" spans="2:2" x14ac:dyDescent="0.2">
      <c r="B711" s="48"/>
    </row>
    <row r="712" spans="2:2" x14ac:dyDescent="0.2">
      <c r="B712" s="48"/>
    </row>
    <row r="713" spans="2:2" x14ac:dyDescent="0.2">
      <c r="B713" s="48"/>
    </row>
    <row r="714" spans="2:2" x14ac:dyDescent="0.2">
      <c r="B714" s="48"/>
    </row>
    <row r="715" spans="2:2" x14ac:dyDescent="0.2">
      <c r="B715" s="48"/>
    </row>
    <row r="716" spans="2:2" x14ac:dyDescent="0.2">
      <c r="B716" s="48"/>
    </row>
    <row r="717" spans="2:2" x14ac:dyDescent="0.2">
      <c r="B717" s="48"/>
    </row>
    <row r="718" spans="2:2" x14ac:dyDescent="0.2">
      <c r="B718" s="48"/>
    </row>
    <row r="719" spans="2:2" x14ac:dyDescent="0.2">
      <c r="B719" s="48"/>
    </row>
    <row r="720" spans="2:2" x14ac:dyDescent="0.2">
      <c r="B720" s="48"/>
    </row>
    <row r="721" spans="2:2" x14ac:dyDescent="0.2">
      <c r="B721" s="48"/>
    </row>
    <row r="722" spans="2:2" x14ac:dyDescent="0.2">
      <c r="B722" s="48"/>
    </row>
    <row r="723" spans="2:2" x14ac:dyDescent="0.2">
      <c r="B723" s="48"/>
    </row>
    <row r="724" spans="2:2" x14ac:dyDescent="0.2">
      <c r="B724" s="48"/>
    </row>
    <row r="725" spans="2:2" x14ac:dyDescent="0.2">
      <c r="B725" s="48"/>
    </row>
    <row r="726" spans="2:2" x14ac:dyDescent="0.2">
      <c r="B726" s="48"/>
    </row>
    <row r="727" spans="2:2" x14ac:dyDescent="0.2">
      <c r="B727" s="48"/>
    </row>
    <row r="728" spans="2:2" x14ac:dyDescent="0.2">
      <c r="B728" s="48"/>
    </row>
    <row r="729" spans="2:2" x14ac:dyDescent="0.2">
      <c r="B729" s="48"/>
    </row>
    <row r="730" spans="2:2" x14ac:dyDescent="0.2">
      <c r="B730" s="48"/>
    </row>
    <row r="731" spans="2:2" x14ac:dyDescent="0.2">
      <c r="B731" s="48"/>
    </row>
    <row r="732" spans="2:2" x14ac:dyDescent="0.2">
      <c r="B732" s="48"/>
    </row>
    <row r="733" spans="2:2" x14ac:dyDescent="0.2">
      <c r="B733" s="48"/>
    </row>
    <row r="734" spans="2:2" x14ac:dyDescent="0.2">
      <c r="B734" s="48"/>
    </row>
    <row r="735" spans="2:2" x14ac:dyDescent="0.2">
      <c r="B735" s="48"/>
    </row>
    <row r="736" spans="2:2" x14ac:dyDescent="0.2">
      <c r="B736" s="48"/>
    </row>
    <row r="737" spans="2:2" x14ac:dyDescent="0.2">
      <c r="B737" s="48"/>
    </row>
    <row r="738" spans="2:2" x14ac:dyDescent="0.2">
      <c r="B738" s="48"/>
    </row>
    <row r="739" spans="2:2" x14ac:dyDescent="0.2">
      <c r="B739" s="48"/>
    </row>
    <row r="740" spans="2:2" x14ac:dyDescent="0.2">
      <c r="B740" s="48"/>
    </row>
    <row r="741" spans="2:2" x14ac:dyDescent="0.2">
      <c r="B741" s="48"/>
    </row>
    <row r="742" spans="2:2" x14ac:dyDescent="0.2">
      <c r="B742" s="48"/>
    </row>
    <row r="743" spans="2:2" x14ac:dyDescent="0.2">
      <c r="B743" s="48"/>
    </row>
    <row r="744" spans="2:2" x14ac:dyDescent="0.2">
      <c r="B744" s="48"/>
    </row>
    <row r="745" spans="2:2" x14ac:dyDescent="0.2">
      <c r="B745" s="48"/>
    </row>
    <row r="746" spans="2:2" x14ac:dyDescent="0.2">
      <c r="B746" s="48"/>
    </row>
    <row r="747" spans="2:2" x14ac:dyDescent="0.2">
      <c r="B747" s="48"/>
    </row>
    <row r="748" spans="2:2" x14ac:dyDescent="0.2">
      <c r="B748" s="48"/>
    </row>
    <row r="749" spans="2:2" x14ac:dyDescent="0.2">
      <c r="B749" s="48"/>
    </row>
    <row r="750" spans="2:2" x14ac:dyDescent="0.2">
      <c r="B750" s="48"/>
    </row>
    <row r="751" spans="2:2" x14ac:dyDescent="0.2">
      <c r="B751" s="48"/>
    </row>
    <row r="752" spans="2:2" x14ac:dyDescent="0.2">
      <c r="B752" s="48"/>
    </row>
    <row r="753" spans="2:2" x14ac:dyDescent="0.2">
      <c r="B753" s="48"/>
    </row>
    <row r="754" spans="2:2" x14ac:dyDescent="0.2">
      <c r="B754" s="48"/>
    </row>
    <row r="755" spans="2:2" x14ac:dyDescent="0.2">
      <c r="B755" s="48"/>
    </row>
    <row r="756" spans="2:2" x14ac:dyDescent="0.2">
      <c r="B756" s="48"/>
    </row>
    <row r="757" spans="2:2" x14ac:dyDescent="0.2">
      <c r="B757" s="48"/>
    </row>
    <row r="758" spans="2:2" x14ac:dyDescent="0.2">
      <c r="B758" s="48"/>
    </row>
    <row r="759" spans="2:2" x14ac:dyDescent="0.2">
      <c r="B759" s="48"/>
    </row>
    <row r="760" spans="2:2" x14ac:dyDescent="0.2">
      <c r="B760" s="48"/>
    </row>
    <row r="761" spans="2:2" x14ac:dyDescent="0.2">
      <c r="B761" s="48"/>
    </row>
    <row r="762" spans="2:2" x14ac:dyDescent="0.2">
      <c r="B762" s="48"/>
    </row>
    <row r="763" spans="2:2" x14ac:dyDescent="0.2">
      <c r="B763" s="48"/>
    </row>
    <row r="764" spans="2:2" x14ac:dyDescent="0.2">
      <c r="B764" s="48"/>
    </row>
    <row r="765" spans="2:2" x14ac:dyDescent="0.2">
      <c r="B765" s="48"/>
    </row>
    <row r="766" spans="2:2" x14ac:dyDescent="0.2">
      <c r="B766" s="48"/>
    </row>
    <row r="767" spans="2:2" x14ac:dyDescent="0.2">
      <c r="B767" s="48"/>
    </row>
    <row r="768" spans="2:2" x14ac:dyDescent="0.2">
      <c r="B768" s="48"/>
    </row>
    <row r="769" spans="2:2" x14ac:dyDescent="0.2">
      <c r="B769" s="48"/>
    </row>
    <row r="770" spans="2:2" x14ac:dyDescent="0.2">
      <c r="B770" s="48"/>
    </row>
    <row r="771" spans="2:2" x14ac:dyDescent="0.2">
      <c r="B771" s="48"/>
    </row>
    <row r="772" spans="2:2" x14ac:dyDescent="0.2">
      <c r="B772" s="48"/>
    </row>
    <row r="773" spans="2:2" x14ac:dyDescent="0.2">
      <c r="B773" s="48"/>
    </row>
    <row r="774" spans="2:2" x14ac:dyDescent="0.2">
      <c r="B774" s="48"/>
    </row>
    <row r="775" spans="2:2" x14ac:dyDescent="0.2">
      <c r="B775" s="48"/>
    </row>
    <row r="776" spans="2:2" x14ac:dyDescent="0.2">
      <c r="B776" s="48"/>
    </row>
    <row r="777" spans="2:2" x14ac:dyDescent="0.2">
      <c r="B777" s="48"/>
    </row>
    <row r="778" spans="2:2" x14ac:dyDescent="0.2">
      <c r="B778" s="48"/>
    </row>
    <row r="779" spans="2:2" x14ac:dyDescent="0.2">
      <c r="B779" s="48"/>
    </row>
    <row r="780" spans="2:2" x14ac:dyDescent="0.2">
      <c r="B780" s="48"/>
    </row>
    <row r="781" spans="2:2" x14ac:dyDescent="0.2">
      <c r="B781" s="48"/>
    </row>
    <row r="782" spans="2:2" x14ac:dyDescent="0.2">
      <c r="B782" s="48"/>
    </row>
    <row r="783" spans="2:2" x14ac:dyDescent="0.2">
      <c r="B783" s="48"/>
    </row>
    <row r="784" spans="2:2" x14ac:dyDescent="0.2">
      <c r="B784" s="48"/>
    </row>
    <row r="785" spans="2:2" x14ac:dyDescent="0.2">
      <c r="B785" s="48"/>
    </row>
    <row r="786" spans="2:2" x14ac:dyDescent="0.2">
      <c r="B786" s="48"/>
    </row>
    <row r="787" spans="2:2" x14ac:dyDescent="0.2">
      <c r="B787" s="48"/>
    </row>
    <row r="788" spans="2:2" x14ac:dyDescent="0.2">
      <c r="B788" s="48"/>
    </row>
    <row r="789" spans="2:2" x14ac:dyDescent="0.2">
      <c r="B789" s="48"/>
    </row>
    <row r="790" spans="2:2" x14ac:dyDescent="0.2">
      <c r="B790" s="48"/>
    </row>
    <row r="791" spans="2:2" x14ac:dyDescent="0.2">
      <c r="B791" s="48"/>
    </row>
    <row r="792" spans="2:2" x14ac:dyDescent="0.2">
      <c r="B792" s="48"/>
    </row>
    <row r="793" spans="2:2" x14ac:dyDescent="0.2">
      <c r="B793" s="48"/>
    </row>
    <row r="794" spans="2:2" x14ac:dyDescent="0.2">
      <c r="B794" s="48"/>
    </row>
    <row r="795" spans="2:2" x14ac:dyDescent="0.2">
      <c r="B795" s="48"/>
    </row>
    <row r="796" spans="2:2" x14ac:dyDescent="0.2">
      <c r="B796" s="48"/>
    </row>
    <row r="797" spans="2:2" x14ac:dyDescent="0.2">
      <c r="B797" s="48"/>
    </row>
    <row r="798" spans="2:2" x14ac:dyDescent="0.2">
      <c r="B798" s="48"/>
    </row>
    <row r="799" spans="2:2" x14ac:dyDescent="0.2">
      <c r="B799" s="48"/>
    </row>
    <row r="800" spans="2:2" x14ac:dyDescent="0.2">
      <c r="B800" s="48"/>
    </row>
    <row r="801" spans="2:2" x14ac:dyDescent="0.2">
      <c r="B801" s="48"/>
    </row>
    <row r="802" spans="2:2" x14ac:dyDescent="0.2">
      <c r="B802" s="48"/>
    </row>
    <row r="803" spans="2:2" x14ac:dyDescent="0.2">
      <c r="B803" s="48"/>
    </row>
    <row r="804" spans="2:2" x14ac:dyDescent="0.2">
      <c r="B804" s="48"/>
    </row>
    <row r="805" spans="2:2" x14ac:dyDescent="0.2">
      <c r="B805" s="48"/>
    </row>
    <row r="806" spans="2:2" x14ac:dyDescent="0.2">
      <c r="B806" s="48"/>
    </row>
    <row r="807" spans="2:2" x14ac:dyDescent="0.2">
      <c r="B807" s="48"/>
    </row>
    <row r="808" spans="2:2" x14ac:dyDescent="0.2">
      <c r="B808" s="48"/>
    </row>
    <row r="809" spans="2:2" x14ac:dyDescent="0.2">
      <c r="B809" s="48"/>
    </row>
    <row r="810" spans="2:2" x14ac:dyDescent="0.2">
      <c r="B810" s="48"/>
    </row>
    <row r="811" spans="2:2" x14ac:dyDescent="0.2">
      <c r="B811" s="48"/>
    </row>
    <row r="812" spans="2:2" x14ac:dyDescent="0.2">
      <c r="B812" s="48"/>
    </row>
    <row r="813" spans="2:2" x14ac:dyDescent="0.2">
      <c r="B813" s="48"/>
    </row>
    <row r="814" spans="2:2" x14ac:dyDescent="0.2">
      <c r="B814" s="48"/>
    </row>
    <row r="815" spans="2:2" x14ac:dyDescent="0.2">
      <c r="B815" s="48"/>
    </row>
    <row r="816" spans="2:2" x14ac:dyDescent="0.2">
      <c r="B816" s="48"/>
    </row>
    <row r="817" spans="2:2" x14ac:dyDescent="0.2">
      <c r="B817" s="48"/>
    </row>
    <row r="818" spans="2:2" x14ac:dyDescent="0.2">
      <c r="B818" s="48"/>
    </row>
    <row r="819" spans="2:2" x14ac:dyDescent="0.2">
      <c r="B819" s="48"/>
    </row>
    <row r="820" spans="2:2" x14ac:dyDescent="0.2">
      <c r="B820" s="48"/>
    </row>
    <row r="821" spans="2:2" x14ac:dyDescent="0.2">
      <c r="B821" s="48"/>
    </row>
    <row r="822" spans="2:2" x14ac:dyDescent="0.2">
      <c r="B822" s="48"/>
    </row>
    <row r="823" spans="2:2" x14ac:dyDescent="0.2">
      <c r="B823" s="48"/>
    </row>
    <row r="824" spans="2:2" x14ac:dyDescent="0.2">
      <c r="B824" s="48"/>
    </row>
    <row r="825" spans="2:2" x14ac:dyDescent="0.2">
      <c r="B825" s="48"/>
    </row>
    <row r="826" spans="2:2" x14ac:dyDescent="0.2">
      <c r="B826" s="48"/>
    </row>
    <row r="827" spans="2:2" x14ac:dyDescent="0.2">
      <c r="B827" s="48"/>
    </row>
    <row r="828" spans="2:2" x14ac:dyDescent="0.2">
      <c r="B828" s="48"/>
    </row>
    <row r="829" spans="2:2" x14ac:dyDescent="0.2">
      <c r="B829" s="48"/>
    </row>
    <row r="830" spans="2:2" x14ac:dyDescent="0.2">
      <c r="B830" s="48"/>
    </row>
    <row r="831" spans="2:2" x14ac:dyDescent="0.2">
      <c r="B831" s="48"/>
    </row>
    <row r="832" spans="2:2" x14ac:dyDescent="0.2">
      <c r="B832" s="48"/>
    </row>
    <row r="833" spans="2:2" x14ac:dyDescent="0.2">
      <c r="B833" s="48"/>
    </row>
    <row r="834" spans="2:2" x14ac:dyDescent="0.2">
      <c r="B834" s="48"/>
    </row>
    <row r="835" spans="2:2" x14ac:dyDescent="0.2">
      <c r="B835" s="48"/>
    </row>
    <row r="836" spans="2:2" x14ac:dyDescent="0.2">
      <c r="B836" s="48"/>
    </row>
    <row r="837" spans="2:2" x14ac:dyDescent="0.2">
      <c r="B837" s="48"/>
    </row>
    <row r="838" spans="2:2" x14ac:dyDescent="0.2">
      <c r="B838" s="48"/>
    </row>
    <row r="839" spans="2:2" x14ac:dyDescent="0.2">
      <c r="B839" s="48"/>
    </row>
    <row r="840" spans="2:2" x14ac:dyDescent="0.2">
      <c r="B840" s="48"/>
    </row>
    <row r="841" spans="2:2" x14ac:dyDescent="0.2">
      <c r="B841" s="48"/>
    </row>
    <row r="842" spans="2:2" x14ac:dyDescent="0.2">
      <c r="B842" s="48"/>
    </row>
    <row r="843" spans="2:2" x14ac:dyDescent="0.2">
      <c r="B843" s="48"/>
    </row>
    <row r="844" spans="2:2" x14ac:dyDescent="0.2">
      <c r="B844" s="48"/>
    </row>
    <row r="845" spans="2:2" x14ac:dyDescent="0.2">
      <c r="B845" s="48"/>
    </row>
    <row r="846" spans="2:2" x14ac:dyDescent="0.2">
      <c r="B846" s="48"/>
    </row>
    <row r="847" spans="2:2" x14ac:dyDescent="0.2">
      <c r="B847" s="48"/>
    </row>
    <row r="848" spans="2:2" x14ac:dyDescent="0.2">
      <c r="B848" s="48"/>
    </row>
    <row r="849" spans="2:2" x14ac:dyDescent="0.2">
      <c r="B849" s="48"/>
    </row>
    <row r="850" spans="2:2" x14ac:dyDescent="0.2">
      <c r="B850" s="48"/>
    </row>
    <row r="851" spans="2:2" x14ac:dyDescent="0.2">
      <c r="B851" s="48"/>
    </row>
    <row r="852" spans="2:2" x14ac:dyDescent="0.2">
      <c r="B852" s="48"/>
    </row>
    <row r="853" spans="2:2" x14ac:dyDescent="0.2">
      <c r="B853" s="48"/>
    </row>
    <row r="854" spans="2:2" x14ac:dyDescent="0.2">
      <c r="B854" s="48"/>
    </row>
    <row r="855" spans="2:2" x14ac:dyDescent="0.2">
      <c r="B855" s="48"/>
    </row>
    <row r="856" spans="2:2" x14ac:dyDescent="0.2">
      <c r="B856" s="48"/>
    </row>
    <row r="857" spans="2:2" x14ac:dyDescent="0.2">
      <c r="B857" s="48"/>
    </row>
    <row r="858" spans="2:2" x14ac:dyDescent="0.2">
      <c r="B858" s="48"/>
    </row>
    <row r="859" spans="2:2" x14ac:dyDescent="0.2">
      <c r="B859" s="48"/>
    </row>
    <row r="860" spans="2:2" x14ac:dyDescent="0.2">
      <c r="B860" s="48"/>
    </row>
    <row r="861" spans="2:2" x14ac:dyDescent="0.2">
      <c r="B861" s="48"/>
    </row>
    <row r="862" spans="2:2" x14ac:dyDescent="0.2">
      <c r="B862" s="48"/>
    </row>
    <row r="863" spans="2:2" x14ac:dyDescent="0.2">
      <c r="B863" s="48"/>
    </row>
    <row r="864" spans="2:2" x14ac:dyDescent="0.2">
      <c r="B864" s="48"/>
    </row>
    <row r="865" spans="2:2" x14ac:dyDescent="0.2">
      <c r="B865" s="48"/>
    </row>
    <row r="866" spans="2:2" x14ac:dyDescent="0.2">
      <c r="B866" s="48"/>
    </row>
    <row r="867" spans="2:2" x14ac:dyDescent="0.2">
      <c r="B867" s="48"/>
    </row>
    <row r="868" spans="2:2" x14ac:dyDescent="0.2">
      <c r="B868" s="48"/>
    </row>
    <row r="869" spans="2:2" x14ac:dyDescent="0.2">
      <c r="B869" s="48"/>
    </row>
    <row r="870" spans="2:2" x14ac:dyDescent="0.2">
      <c r="B870" s="48"/>
    </row>
    <row r="871" spans="2:2" x14ac:dyDescent="0.2">
      <c r="B871" s="48"/>
    </row>
    <row r="872" spans="2:2" x14ac:dyDescent="0.2">
      <c r="B872" s="48"/>
    </row>
    <row r="873" spans="2:2" x14ac:dyDescent="0.2">
      <c r="B873" s="48"/>
    </row>
    <row r="874" spans="2:2" x14ac:dyDescent="0.2">
      <c r="B874" s="48"/>
    </row>
    <row r="875" spans="2:2" x14ac:dyDescent="0.2">
      <c r="B875" s="48"/>
    </row>
    <row r="876" spans="2:2" x14ac:dyDescent="0.2">
      <c r="B876" s="48"/>
    </row>
    <row r="877" spans="2:2" x14ac:dyDescent="0.2">
      <c r="B877" s="48"/>
    </row>
    <row r="878" spans="2:2" x14ac:dyDescent="0.2">
      <c r="B878" s="48"/>
    </row>
    <row r="879" spans="2:2" x14ac:dyDescent="0.2">
      <c r="B879" s="48"/>
    </row>
    <row r="880" spans="2:2" x14ac:dyDescent="0.2">
      <c r="B880" s="48"/>
    </row>
    <row r="881" spans="2:2" x14ac:dyDescent="0.2">
      <c r="B881" s="48"/>
    </row>
    <row r="882" spans="2:2" x14ac:dyDescent="0.2">
      <c r="B882" s="48"/>
    </row>
    <row r="883" spans="2:2" x14ac:dyDescent="0.2">
      <c r="B883" s="48"/>
    </row>
    <row r="884" spans="2:2" x14ac:dyDescent="0.2">
      <c r="B884" s="48"/>
    </row>
    <row r="885" spans="2:2" x14ac:dyDescent="0.2">
      <c r="B885" s="48"/>
    </row>
    <row r="886" spans="2:2" x14ac:dyDescent="0.2">
      <c r="B886" s="48"/>
    </row>
    <row r="887" spans="2:2" x14ac:dyDescent="0.2">
      <c r="B887" s="48"/>
    </row>
    <row r="888" spans="2:2" x14ac:dyDescent="0.2">
      <c r="B888" s="48"/>
    </row>
    <row r="889" spans="2:2" x14ac:dyDescent="0.2">
      <c r="B889" s="48"/>
    </row>
    <row r="890" spans="2:2" x14ac:dyDescent="0.2">
      <c r="B890" s="48"/>
    </row>
    <row r="891" spans="2:2" x14ac:dyDescent="0.2">
      <c r="B891" s="48"/>
    </row>
    <row r="892" spans="2:2" x14ac:dyDescent="0.2">
      <c r="B892" s="48"/>
    </row>
    <row r="893" spans="2:2" x14ac:dyDescent="0.2">
      <c r="B893" s="48"/>
    </row>
    <row r="894" spans="2:2" x14ac:dyDescent="0.2">
      <c r="B894" s="48"/>
    </row>
    <row r="895" spans="2:2" x14ac:dyDescent="0.2">
      <c r="B895" s="48"/>
    </row>
    <row r="896" spans="2:2" x14ac:dyDescent="0.2">
      <c r="B896" s="48"/>
    </row>
    <row r="897" spans="2:2" x14ac:dyDescent="0.2">
      <c r="B897" s="48"/>
    </row>
    <row r="898" spans="2:2" x14ac:dyDescent="0.2">
      <c r="B898" s="48"/>
    </row>
    <row r="899" spans="2:2" x14ac:dyDescent="0.2">
      <c r="B899" s="48"/>
    </row>
    <row r="900" spans="2:2" x14ac:dyDescent="0.2">
      <c r="B900" s="48"/>
    </row>
    <row r="901" spans="2:2" x14ac:dyDescent="0.2">
      <c r="B901" s="48"/>
    </row>
    <row r="902" spans="2:2" x14ac:dyDescent="0.2">
      <c r="B902" s="48"/>
    </row>
    <row r="903" spans="2:2" x14ac:dyDescent="0.2">
      <c r="B903" s="48"/>
    </row>
    <row r="904" spans="2:2" x14ac:dyDescent="0.2">
      <c r="B904" s="48"/>
    </row>
    <row r="905" spans="2:2" x14ac:dyDescent="0.2">
      <c r="B905" s="48"/>
    </row>
    <row r="906" spans="2:2" x14ac:dyDescent="0.2">
      <c r="B906" s="48"/>
    </row>
    <row r="907" spans="2:2" x14ac:dyDescent="0.2">
      <c r="B907" s="48"/>
    </row>
    <row r="908" spans="2:2" x14ac:dyDescent="0.2">
      <c r="B908" s="48"/>
    </row>
    <row r="909" spans="2:2" x14ac:dyDescent="0.2">
      <c r="B909" s="48"/>
    </row>
    <row r="910" spans="2:2" x14ac:dyDescent="0.2">
      <c r="B910" s="48"/>
    </row>
    <row r="911" spans="2:2" x14ac:dyDescent="0.2">
      <c r="B911" s="48"/>
    </row>
    <row r="912" spans="2:2" x14ac:dyDescent="0.2">
      <c r="B912" s="48"/>
    </row>
    <row r="913" spans="2:2" x14ac:dyDescent="0.2">
      <c r="B913" s="48"/>
    </row>
    <row r="914" spans="2:2" x14ac:dyDescent="0.2">
      <c r="B914" s="48"/>
    </row>
    <row r="915" spans="2:2" x14ac:dyDescent="0.2">
      <c r="B915" s="48"/>
    </row>
    <row r="916" spans="2:2" x14ac:dyDescent="0.2">
      <c r="B916" s="48"/>
    </row>
    <row r="917" spans="2:2" x14ac:dyDescent="0.2">
      <c r="B917" s="48"/>
    </row>
    <row r="918" spans="2:2" x14ac:dyDescent="0.2">
      <c r="B918" s="48"/>
    </row>
    <row r="919" spans="2:2" x14ac:dyDescent="0.2">
      <c r="B919" s="48"/>
    </row>
    <row r="920" spans="2:2" x14ac:dyDescent="0.2">
      <c r="B920" s="48"/>
    </row>
    <row r="921" spans="2:2" x14ac:dyDescent="0.2">
      <c r="B921" s="48"/>
    </row>
    <row r="922" spans="2:2" x14ac:dyDescent="0.2">
      <c r="B922" s="48"/>
    </row>
    <row r="923" spans="2:2" x14ac:dyDescent="0.2">
      <c r="B923" s="48"/>
    </row>
    <row r="924" spans="2:2" x14ac:dyDescent="0.2">
      <c r="B924" s="48"/>
    </row>
    <row r="925" spans="2:2" x14ac:dyDescent="0.2">
      <c r="B925" s="48"/>
    </row>
    <row r="926" spans="2:2" x14ac:dyDescent="0.2">
      <c r="B926" s="48"/>
    </row>
    <row r="927" spans="2:2" x14ac:dyDescent="0.2">
      <c r="B927" s="48"/>
    </row>
    <row r="928" spans="2:2" x14ac:dyDescent="0.2">
      <c r="B928" s="48"/>
    </row>
    <row r="929" spans="2:2" x14ac:dyDescent="0.2">
      <c r="B929" s="48"/>
    </row>
    <row r="930" spans="2:2" x14ac:dyDescent="0.2">
      <c r="B930" s="48"/>
    </row>
    <row r="931" spans="2:2" x14ac:dyDescent="0.2">
      <c r="B931" s="48"/>
    </row>
    <row r="932" spans="2:2" x14ac:dyDescent="0.2">
      <c r="B932" s="48"/>
    </row>
    <row r="933" spans="2:2" x14ac:dyDescent="0.2">
      <c r="B933" s="48"/>
    </row>
    <row r="934" spans="2:2" x14ac:dyDescent="0.2">
      <c r="B934" s="48"/>
    </row>
    <row r="935" spans="2:2" x14ac:dyDescent="0.2">
      <c r="B935" s="48"/>
    </row>
    <row r="936" spans="2:2" x14ac:dyDescent="0.2">
      <c r="B936" s="48"/>
    </row>
    <row r="937" spans="2:2" x14ac:dyDescent="0.2">
      <c r="B937" s="48"/>
    </row>
    <row r="938" spans="2:2" x14ac:dyDescent="0.2">
      <c r="B938" s="48"/>
    </row>
    <row r="939" spans="2:2" x14ac:dyDescent="0.2">
      <c r="B939" s="48"/>
    </row>
    <row r="940" spans="2:2" x14ac:dyDescent="0.2">
      <c r="B940" s="48"/>
    </row>
    <row r="941" spans="2:2" x14ac:dyDescent="0.2">
      <c r="B941" s="48"/>
    </row>
    <row r="942" spans="2:2" x14ac:dyDescent="0.2">
      <c r="B942" s="48"/>
    </row>
    <row r="943" spans="2:2" x14ac:dyDescent="0.2">
      <c r="B943" s="48"/>
    </row>
    <row r="944" spans="2:2" x14ac:dyDescent="0.2">
      <c r="B944" s="48"/>
    </row>
    <row r="945" spans="2:2" x14ac:dyDescent="0.2">
      <c r="B945" s="48"/>
    </row>
    <row r="946" spans="2:2" x14ac:dyDescent="0.2">
      <c r="B946" s="48"/>
    </row>
    <row r="947" spans="2:2" x14ac:dyDescent="0.2">
      <c r="B947" s="48"/>
    </row>
    <row r="948" spans="2:2" x14ac:dyDescent="0.2">
      <c r="B948" s="48"/>
    </row>
    <row r="949" spans="2:2" x14ac:dyDescent="0.2">
      <c r="B949" s="48"/>
    </row>
    <row r="950" spans="2:2" x14ac:dyDescent="0.2">
      <c r="B950" s="48"/>
    </row>
    <row r="951" spans="2:2" x14ac:dyDescent="0.2">
      <c r="B951" s="48"/>
    </row>
    <row r="952" spans="2:2" x14ac:dyDescent="0.2">
      <c r="B952" s="48"/>
    </row>
    <row r="953" spans="2:2" x14ac:dyDescent="0.2">
      <c r="B953" s="48"/>
    </row>
    <row r="954" spans="2:2" x14ac:dyDescent="0.2">
      <c r="B954" s="48"/>
    </row>
    <row r="955" spans="2:2" x14ac:dyDescent="0.2">
      <c r="B955" s="48"/>
    </row>
    <row r="956" spans="2:2" x14ac:dyDescent="0.2">
      <c r="B956" s="48"/>
    </row>
    <row r="957" spans="2:2" x14ac:dyDescent="0.2">
      <c r="B957" s="48"/>
    </row>
    <row r="958" spans="2:2" x14ac:dyDescent="0.2">
      <c r="B958" s="48"/>
    </row>
    <row r="959" spans="2:2" x14ac:dyDescent="0.2">
      <c r="B959" s="48"/>
    </row>
    <row r="960" spans="2:2" x14ac:dyDescent="0.2">
      <c r="B960" s="48"/>
    </row>
    <row r="961" spans="2:2" x14ac:dyDescent="0.2">
      <c r="B961" s="48"/>
    </row>
    <row r="962" spans="2:2" x14ac:dyDescent="0.2">
      <c r="B962" s="48"/>
    </row>
    <row r="963" spans="2:2" x14ac:dyDescent="0.2">
      <c r="B963" s="48"/>
    </row>
    <row r="964" spans="2:2" x14ac:dyDescent="0.2">
      <c r="B964" s="48"/>
    </row>
    <row r="965" spans="2:2" x14ac:dyDescent="0.2">
      <c r="B965" s="48"/>
    </row>
    <row r="966" spans="2:2" x14ac:dyDescent="0.2">
      <c r="B966" s="48"/>
    </row>
    <row r="967" spans="2:2" x14ac:dyDescent="0.2">
      <c r="B967" s="48"/>
    </row>
    <row r="968" spans="2:2" x14ac:dyDescent="0.2">
      <c r="B968" s="48"/>
    </row>
    <row r="969" spans="2:2" x14ac:dyDescent="0.2">
      <c r="B969" s="48"/>
    </row>
    <row r="970" spans="2:2" x14ac:dyDescent="0.2">
      <c r="B970" s="48"/>
    </row>
    <row r="971" spans="2:2" x14ac:dyDescent="0.2">
      <c r="B971" s="48"/>
    </row>
    <row r="972" spans="2:2" x14ac:dyDescent="0.2">
      <c r="B972" s="48"/>
    </row>
    <row r="973" spans="2:2" x14ac:dyDescent="0.2">
      <c r="B973" s="48"/>
    </row>
    <row r="974" spans="2:2" x14ac:dyDescent="0.2">
      <c r="B974" s="48"/>
    </row>
    <row r="975" spans="2:2" x14ac:dyDescent="0.2">
      <c r="B975" s="48"/>
    </row>
    <row r="976" spans="2:2" x14ac:dyDescent="0.2">
      <c r="B976" s="48"/>
    </row>
    <row r="977" spans="2:2" x14ac:dyDescent="0.2">
      <c r="B977" s="48"/>
    </row>
    <row r="978" spans="2:2" x14ac:dyDescent="0.2">
      <c r="B978" s="48"/>
    </row>
    <row r="979" spans="2:2" x14ac:dyDescent="0.2">
      <c r="B979" s="48"/>
    </row>
    <row r="980" spans="2:2" x14ac:dyDescent="0.2">
      <c r="B980" s="48"/>
    </row>
    <row r="981" spans="2:2" x14ac:dyDescent="0.2">
      <c r="B981" s="48"/>
    </row>
    <row r="982" spans="2:2" x14ac:dyDescent="0.2">
      <c r="B982" s="48"/>
    </row>
    <row r="983" spans="2:2" x14ac:dyDescent="0.2">
      <c r="B983" s="48"/>
    </row>
    <row r="984" spans="2:2" x14ac:dyDescent="0.2">
      <c r="B984" s="48"/>
    </row>
    <row r="985" spans="2:2" x14ac:dyDescent="0.2">
      <c r="B985" s="48"/>
    </row>
    <row r="986" spans="2:2" x14ac:dyDescent="0.2">
      <c r="B986" s="48"/>
    </row>
    <row r="987" spans="2:2" x14ac:dyDescent="0.2">
      <c r="B987" s="48"/>
    </row>
    <row r="988" spans="2:2" x14ac:dyDescent="0.2">
      <c r="B988" s="48"/>
    </row>
    <row r="989" spans="2:2" x14ac:dyDescent="0.2">
      <c r="B989" s="48"/>
    </row>
    <row r="990" spans="2:2" x14ac:dyDescent="0.2">
      <c r="B990" s="48"/>
    </row>
    <row r="991" spans="2:2" x14ac:dyDescent="0.2">
      <c r="B991" s="48"/>
    </row>
    <row r="992" spans="2:2" x14ac:dyDescent="0.2">
      <c r="B992" s="48"/>
    </row>
    <row r="993" spans="2:2" x14ac:dyDescent="0.2">
      <c r="B993" s="48"/>
    </row>
    <row r="994" spans="2:2" x14ac:dyDescent="0.2">
      <c r="B994" s="48"/>
    </row>
    <row r="995" spans="2:2" x14ac:dyDescent="0.2">
      <c r="B995" s="48"/>
    </row>
    <row r="996" spans="2:2" x14ac:dyDescent="0.2">
      <c r="B996" s="48"/>
    </row>
    <row r="997" spans="2:2" x14ac:dyDescent="0.2">
      <c r="B997" s="48"/>
    </row>
    <row r="998" spans="2:2" x14ac:dyDescent="0.2">
      <c r="B998" s="48"/>
    </row>
    <row r="999" spans="2:2" x14ac:dyDescent="0.2">
      <c r="B999" s="48"/>
    </row>
    <row r="1000" spans="2:2" x14ac:dyDescent="0.2">
      <c r="B1000" s="48"/>
    </row>
    <row r="1001" spans="2:2" x14ac:dyDescent="0.2">
      <c r="B1001" s="48"/>
    </row>
    <row r="1002" spans="2:2" x14ac:dyDescent="0.2">
      <c r="B1002" s="48"/>
    </row>
    <row r="1003" spans="2:2" x14ac:dyDescent="0.2">
      <c r="B1003" s="48"/>
    </row>
    <row r="1004" spans="2:2" x14ac:dyDescent="0.2">
      <c r="B1004" s="48"/>
    </row>
    <row r="1005" spans="2:2" x14ac:dyDescent="0.2">
      <c r="B1005" s="48"/>
    </row>
    <row r="1006" spans="2:2" x14ac:dyDescent="0.2">
      <c r="B1006" s="48"/>
    </row>
    <row r="1007" spans="2:2" x14ac:dyDescent="0.2">
      <c r="B1007" s="48"/>
    </row>
    <row r="1008" spans="2:2" x14ac:dyDescent="0.2">
      <c r="B1008" s="48"/>
    </row>
    <row r="1009" spans="2:2" x14ac:dyDescent="0.2">
      <c r="B1009" s="48"/>
    </row>
    <row r="1010" spans="2:2" x14ac:dyDescent="0.2">
      <c r="B1010" s="48"/>
    </row>
    <row r="1011" spans="2:2" x14ac:dyDescent="0.2">
      <c r="B1011" s="48"/>
    </row>
    <row r="1012" spans="2:2" x14ac:dyDescent="0.2">
      <c r="B1012" s="48"/>
    </row>
    <row r="1013" spans="2:2" x14ac:dyDescent="0.2">
      <c r="B1013" s="48"/>
    </row>
    <row r="1014" spans="2:2" x14ac:dyDescent="0.2">
      <c r="B1014" s="48"/>
    </row>
    <row r="1015" spans="2:2" x14ac:dyDescent="0.2">
      <c r="B1015" s="48"/>
    </row>
    <row r="1016" spans="2:2" x14ac:dyDescent="0.2">
      <c r="B1016" s="48"/>
    </row>
    <row r="1017" spans="2:2" x14ac:dyDescent="0.2">
      <c r="B1017" s="48"/>
    </row>
    <row r="1018" spans="2:2" x14ac:dyDescent="0.2">
      <c r="B1018" s="48"/>
    </row>
    <row r="1019" spans="2:2" x14ac:dyDescent="0.2">
      <c r="B1019" s="48"/>
    </row>
    <row r="1020" spans="2:2" x14ac:dyDescent="0.2">
      <c r="B1020" s="48"/>
    </row>
    <row r="1021" spans="2:2" x14ac:dyDescent="0.2">
      <c r="B1021" s="48"/>
    </row>
    <row r="1022" spans="2:2" x14ac:dyDescent="0.2">
      <c r="B1022" s="48"/>
    </row>
    <row r="1023" spans="2:2" x14ac:dyDescent="0.2">
      <c r="B1023" s="48"/>
    </row>
    <row r="1024" spans="2:2" x14ac:dyDescent="0.2">
      <c r="B1024" s="48"/>
    </row>
    <row r="1025" spans="2:2" x14ac:dyDescent="0.2">
      <c r="B1025" s="48"/>
    </row>
    <row r="1026" spans="2:2" x14ac:dyDescent="0.2">
      <c r="B1026" s="48"/>
    </row>
    <row r="1027" spans="2:2" x14ac:dyDescent="0.2">
      <c r="B1027" s="48"/>
    </row>
    <row r="1028" spans="2:2" x14ac:dyDescent="0.2">
      <c r="B1028" s="48"/>
    </row>
    <row r="1029" spans="2:2" x14ac:dyDescent="0.2">
      <c r="B1029" s="48"/>
    </row>
    <row r="1030" spans="2:2" x14ac:dyDescent="0.2">
      <c r="B1030" s="48"/>
    </row>
    <row r="1031" spans="2:2" x14ac:dyDescent="0.2">
      <c r="B1031" s="48"/>
    </row>
    <row r="1032" spans="2:2" x14ac:dyDescent="0.2">
      <c r="B1032" s="48"/>
    </row>
    <row r="1033" spans="2:2" x14ac:dyDescent="0.2">
      <c r="B1033" s="48"/>
    </row>
    <row r="1034" spans="2:2" x14ac:dyDescent="0.2">
      <c r="B1034" s="48"/>
    </row>
    <row r="1035" spans="2:2" x14ac:dyDescent="0.2">
      <c r="B1035" s="48"/>
    </row>
    <row r="1036" spans="2:2" x14ac:dyDescent="0.2">
      <c r="B1036" s="48"/>
    </row>
    <row r="1037" spans="2:2" x14ac:dyDescent="0.2">
      <c r="B1037" s="48"/>
    </row>
    <row r="1038" spans="2:2" x14ac:dyDescent="0.2">
      <c r="B1038" s="48"/>
    </row>
    <row r="1039" spans="2:2" x14ac:dyDescent="0.2">
      <c r="B1039" s="48"/>
    </row>
    <row r="1040" spans="2:2" x14ac:dyDescent="0.2">
      <c r="B1040" s="48"/>
    </row>
    <row r="1041" spans="2:2" x14ac:dyDescent="0.2">
      <c r="B1041" s="48"/>
    </row>
    <row r="1042" spans="2:2" x14ac:dyDescent="0.2">
      <c r="B1042" s="48"/>
    </row>
    <row r="1043" spans="2:2" x14ac:dyDescent="0.2">
      <c r="B1043" s="48"/>
    </row>
    <row r="1044" spans="2:2" x14ac:dyDescent="0.2">
      <c r="B1044" s="48"/>
    </row>
    <row r="1045" spans="2:2" x14ac:dyDescent="0.2">
      <c r="B1045" s="48"/>
    </row>
    <row r="1046" spans="2:2" x14ac:dyDescent="0.2">
      <c r="B1046" s="48"/>
    </row>
    <row r="1047" spans="2:2" x14ac:dyDescent="0.2">
      <c r="B1047" s="48"/>
    </row>
    <row r="1048" spans="2:2" x14ac:dyDescent="0.2">
      <c r="B1048" s="48"/>
    </row>
    <row r="1049" spans="2:2" x14ac:dyDescent="0.2">
      <c r="B1049" s="48"/>
    </row>
    <row r="1050" spans="2:2" x14ac:dyDescent="0.2">
      <c r="B1050" s="48"/>
    </row>
    <row r="1051" spans="2:2" x14ac:dyDescent="0.2">
      <c r="B1051" s="48"/>
    </row>
    <row r="1052" spans="2:2" x14ac:dyDescent="0.2">
      <c r="B1052" s="48"/>
    </row>
    <row r="1053" spans="2:2" x14ac:dyDescent="0.2">
      <c r="B1053" s="48"/>
    </row>
    <row r="1054" spans="2:2" x14ac:dyDescent="0.2">
      <c r="B1054" s="48"/>
    </row>
    <row r="1055" spans="2:2" x14ac:dyDescent="0.2">
      <c r="B1055" s="48"/>
    </row>
    <row r="1056" spans="2:2" x14ac:dyDescent="0.2">
      <c r="B1056" s="48"/>
    </row>
    <row r="1057" spans="2:2" x14ac:dyDescent="0.2">
      <c r="B1057" s="48"/>
    </row>
    <row r="1058" spans="2:2" x14ac:dyDescent="0.2">
      <c r="B1058" s="48"/>
    </row>
    <row r="1059" spans="2:2" x14ac:dyDescent="0.2">
      <c r="B1059" s="48"/>
    </row>
    <row r="1060" spans="2:2" x14ac:dyDescent="0.2">
      <c r="B1060" s="48"/>
    </row>
    <row r="1061" spans="2:2" x14ac:dyDescent="0.2">
      <c r="B1061" s="48"/>
    </row>
    <row r="1062" spans="2:2" x14ac:dyDescent="0.2">
      <c r="B1062" s="48"/>
    </row>
    <row r="1063" spans="2:2" x14ac:dyDescent="0.2">
      <c r="B1063" s="48"/>
    </row>
    <row r="1064" spans="2:2" x14ac:dyDescent="0.2">
      <c r="B1064" s="48"/>
    </row>
    <row r="1065" spans="2:2" x14ac:dyDescent="0.2">
      <c r="B1065" s="48"/>
    </row>
    <row r="1066" spans="2:2" x14ac:dyDescent="0.2">
      <c r="B1066" s="48"/>
    </row>
    <row r="1067" spans="2:2" x14ac:dyDescent="0.2">
      <c r="B1067" s="48"/>
    </row>
    <row r="1068" spans="2:2" x14ac:dyDescent="0.2">
      <c r="B1068" s="48"/>
    </row>
    <row r="1069" spans="2:2" x14ac:dyDescent="0.2">
      <c r="B1069" s="48"/>
    </row>
    <row r="1070" spans="2:2" x14ac:dyDescent="0.2">
      <c r="B1070" s="48"/>
    </row>
    <row r="1071" spans="2:2" x14ac:dyDescent="0.2">
      <c r="B1071" s="48"/>
    </row>
    <row r="1072" spans="2:2" x14ac:dyDescent="0.2">
      <c r="B1072" s="48"/>
    </row>
    <row r="1073" spans="2:2" x14ac:dyDescent="0.2">
      <c r="B1073" s="48"/>
    </row>
    <row r="1074" spans="2:2" x14ac:dyDescent="0.2">
      <c r="B1074" s="48"/>
    </row>
    <row r="1075" spans="2:2" x14ac:dyDescent="0.2">
      <c r="B1075" s="48"/>
    </row>
    <row r="1076" spans="2:2" x14ac:dyDescent="0.2">
      <c r="B1076" s="48"/>
    </row>
    <row r="1077" spans="2:2" x14ac:dyDescent="0.2">
      <c r="B1077" s="48"/>
    </row>
    <row r="1078" spans="2:2" x14ac:dyDescent="0.2">
      <c r="B1078" s="48"/>
    </row>
    <row r="1079" spans="2:2" x14ac:dyDescent="0.2">
      <c r="B1079" s="48"/>
    </row>
    <row r="1080" spans="2:2" x14ac:dyDescent="0.2">
      <c r="B1080" s="48"/>
    </row>
    <row r="1081" spans="2:2" x14ac:dyDescent="0.2">
      <c r="B1081" s="48"/>
    </row>
    <row r="1082" spans="2:2" x14ac:dyDescent="0.2">
      <c r="B1082" s="48"/>
    </row>
    <row r="1083" spans="2:2" x14ac:dyDescent="0.2">
      <c r="B1083" s="48"/>
    </row>
    <row r="1084" spans="2:2" x14ac:dyDescent="0.2">
      <c r="B1084" s="48"/>
    </row>
    <row r="1085" spans="2:2" x14ac:dyDescent="0.2">
      <c r="B1085" s="48"/>
    </row>
    <row r="1086" spans="2:2" x14ac:dyDescent="0.2">
      <c r="B1086" s="48"/>
    </row>
    <row r="1087" spans="2:2" x14ac:dyDescent="0.2">
      <c r="B1087" s="48"/>
    </row>
    <row r="1088" spans="2:2" x14ac:dyDescent="0.2">
      <c r="B1088" s="48"/>
    </row>
    <row r="1089" spans="2:2" x14ac:dyDescent="0.2">
      <c r="B1089" s="48"/>
    </row>
    <row r="1090" spans="2:2" x14ac:dyDescent="0.2">
      <c r="B1090" s="48"/>
    </row>
    <row r="1091" spans="2:2" x14ac:dyDescent="0.2">
      <c r="B1091" s="48"/>
    </row>
    <row r="1092" spans="2:2" x14ac:dyDescent="0.2">
      <c r="B1092" s="48"/>
    </row>
    <row r="1093" spans="2:2" x14ac:dyDescent="0.2">
      <c r="B1093" s="48"/>
    </row>
    <row r="1094" spans="2:2" x14ac:dyDescent="0.2">
      <c r="B1094" s="48"/>
    </row>
    <row r="1095" spans="2:2" x14ac:dyDescent="0.2">
      <c r="B1095" s="48"/>
    </row>
    <row r="1096" spans="2:2" x14ac:dyDescent="0.2">
      <c r="B1096" s="48"/>
    </row>
    <row r="1097" spans="2:2" x14ac:dyDescent="0.2">
      <c r="B1097" s="48"/>
    </row>
    <row r="1098" spans="2:2" x14ac:dyDescent="0.2">
      <c r="B1098" s="48"/>
    </row>
    <row r="1099" spans="2:2" x14ac:dyDescent="0.2">
      <c r="B1099" s="48"/>
    </row>
    <row r="1100" spans="2:2" x14ac:dyDescent="0.2">
      <c r="B1100" s="48"/>
    </row>
    <row r="1101" spans="2:2" x14ac:dyDescent="0.2">
      <c r="B1101" s="48"/>
    </row>
    <row r="1102" spans="2:2" x14ac:dyDescent="0.2">
      <c r="B1102" s="48"/>
    </row>
    <row r="1103" spans="2:2" x14ac:dyDescent="0.2">
      <c r="B1103" s="48"/>
    </row>
    <row r="1104" spans="2:2" x14ac:dyDescent="0.2">
      <c r="B1104" s="48"/>
    </row>
    <row r="1105" spans="2:2" x14ac:dyDescent="0.2">
      <c r="B1105" s="48"/>
    </row>
    <row r="1106" spans="2:2" x14ac:dyDescent="0.2">
      <c r="B1106" s="48"/>
    </row>
    <row r="1107" spans="2:2" x14ac:dyDescent="0.2">
      <c r="B1107" s="48"/>
    </row>
    <row r="1108" spans="2:2" x14ac:dyDescent="0.2">
      <c r="B1108" s="48"/>
    </row>
    <row r="1109" spans="2:2" x14ac:dyDescent="0.2">
      <c r="B1109" s="48"/>
    </row>
    <row r="1110" spans="2:2" x14ac:dyDescent="0.2">
      <c r="B1110" s="48"/>
    </row>
    <row r="1111" spans="2:2" x14ac:dyDescent="0.2">
      <c r="B1111" s="48"/>
    </row>
    <row r="1112" spans="2:2" x14ac:dyDescent="0.2">
      <c r="B1112" s="48"/>
    </row>
    <row r="1113" spans="2:2" x14ac:dyDescent="0.2">
      <c r="B1113" s="48"/>
    </row>
    <row r="1114" spans="2:2" x14ac:dyDescent="0.2">
      <c r="B1114" s="48"/>
    </row>
    <row r="1115" spans="2:2" x14ac:dyDescent="0.2">
      <c r="B1115" s="48"/>
    </row>
    <row r="1116" spans="2:2" x14ac:dyDescent="0.2">
      <c r="B1116" s="48"/>
    </row>
    <row r="1117" spans="2:2" x14ac:dyDescent="0.2">
      <c r="B1117" s="48"/>
    </row>
    <row r="1118" spans="2:2" x14ac:dyDescent="0.2">
      <c r="B1118" s="48"/>
    </row>
    <row r="1119" spans="2:2" x14ac:dyDescent="0.2">
      <c r="B1119" s="48"/>
    </row>
    <row r="1120" spans="2:2" x14ac:dyDescent="0.2">
      <c r="B1120" s="48"/>
    </row>
    <row r="1121" spans="2:2" x14ac:dyDescent="0.2">
      <c r="B1121" s="48"/>
    </row>
    <row r="1122" spans="2:2" x14ac:dyDescent="0.2">
      <c r="B1122" s="48"/>
    </row>
    <row r="1123" spans="2:2" x14ac:dyDescent="0.2">
      <c r="B1123" s="48"/>
    </row>
    <row r="1124" spans="2:2" x14ac:dyDescent="0.2">
      <c r="B1124" s="48"/>
    </row>
    <row r="1125" spans="2:2" x14ac:dyDescent="0.2">
      <c r="B1125" s="48"/>
    </row>
    <row r="1126" spans="2:2" x14ac:dyDescent="0.2">
      <c r="B1126" s="48"/>
    </row>
    <row r="1127" spans="2:2" x14ac:dyDescent="0.2">
      <c r="B1127" s="48"/>
    </row>
    <row r="1128" spans="2:2" x14ac:dyDescent="0.2">
      <c r="B1128" s="48"/>
    </row>
    <row r="1129" spans="2:2" x14ac:dyDescent="0.2">
      <c r="B1129" s="48"/>
    </row>
    <row r="1130" spans="2:2" x14ac:dyDescent="0.2">
      <c r="B1130" s="48"/>
    </row>
    <row r="1131" spans="2:2" x14ac:dyDescent="0.2">
      <c r="B1131" s="48"/>
    </row>
    <row r="1132" spans="2:2" x14ac:dyDescent="0.2">
      <c r="B1132" s="48"/>
    </row>
    <row r="1133" spans="2:2" x14ac:dyDescent="0.2">
      <c r="B1133" s="48"/>
    </row>
    <row r="1134" spans="2:2" x14ac:dyDescent="0.2">
      <c r="B1134" s="48"/>
    </row>
    <row r="1135" spans="2:2" x14ac:dyDescent="0.2">
      <c r="B1135" s="48"/>
    </row>
    <row r="1136" spans="2:2" x14ac:dyDescent="0.2">
      <c r="B1136" s="48"/>
    </row>
    <row r="1137" spans="2:2" x14ac:dyDescent="0.2">
      <c r="B1137" s="48"/>
    </row>
    <row r="1138" spans="2:2" x14ac:dyDescent="0.2">
      <c r="B1138" s="48"/>
    </row>
    <row r="1139" spans="2:2" x14ac:dyDescent="0.2">
      <c r="B1139" s="48"/>
    </row>
    <row r="1140" spans="2:2" x14ac:dyDescent="0.2">
      <c r="B1140" s="48"/>
    </row>
    <row r="1141" spans="2:2" x14ac:dyDescent="0.2">
      <c r="B1141" s="48"/>
    </row>
    <row r="1142" spans="2:2" x14ac:dyDescent="0.2">
      <c r="B1142" s="48"/>
    </row>
    <row r="1143" spans="2:2" x14ac:dyDescent="0.2">
      <c r="B1143" s="48"/>
    </row>
    <row r="1144" spans="2:2" x14ac:dyDescent="0.2">
      <c r="B1144" s="48"/>
    </row>
    <row r="1145" spans="2:2" x14ac:dyDescent="0.2">
      <c r="B1145" s="48"/>
    </row>
    <row r="1146" spans="2:2" x14ac:dyDescent="0.2">
      <c r="B1146" s="48"/>
    </row>
    <row r="1147" spans="2:2" x14ac:dyDescent="0.2">
      <c r="B1147" s="48"/>
    </row>
    <row r="1148" spans="2:2" x14ac:dyDescent="0.2">
      <c r="B1148" s="48"/>
    </row>
    <row r="1149" spans="2:2" x14ac:dyDescent="0.2">
      <c r="B1149" s="48"/>
    </row>
    <row r="1150" spans="2:2" x14ac:dyDescent="0.2">
      <c r="B1150" s="48"/>
    </row>
    <row r="1151" spans="2:2" x14ac:dyDescent="0.2">
      <c r="B1151" s="48"/>
    </row>
    <row r="1152" spans="2:2" x14ac:dyDescent="0.2">
      <c r="B1152" s="48"/>
    </row>
    <row r="1153" spans="2:2" x14ac:dyDescent="0.2">
      <c r="B1153" s="48"/>
    </row>
    <row r="1154" spans="2:2" x14ac:dyDescent="0.2">
      <c r="B1154" s="48"/>
    </row>
    <row r="1155" spans="2:2" x14ac:dyDescent="0.2">
      <c r="B1155" s="48"/>
    </row>
    <row r="1156" spans="2:2" x14ac:dyDescent="0.2">
      <c r="B1156" s="48"/>
    </row>
    <row r="1157" spans="2:2" x14ac:dyDescent="0.2">
      <c r="B1157" s="48"/>
    </row>
    <row r="1158" spans="2:2" x14ac:dyDescent="0.2">
      <c r="B1158" s="48"/>
    </row>
    <row r="1159" spans="2:2" x14ac:dyDescent="0.2">
      <c r="B1159" s="48"/>
    </row>
    <row r="1160" spans="2:2" x14ac:dyDescent="0.2">
      <c r="B1160" s="48"/>
    </row>
    <row r="1161" spans="2:2" x14ac:dyDescent="0.2">
      <c r="B1161" s="48"/>
    </row>
    <row r="1162" spans="2:2" x14ac:dyDescent="0.2">
      <c r="B1162" s="48"/>
    </row>
    <row r="1163" spans="2:2" x14ac:dyDescent="0.2">
      <c r="B1163" s="48"/>
    </row>
    <row r="1164" spans="2:2" x14ac:dyDescent="0.2">
      <c r="B1164" s="48"/>
    </row>
    <row r="1165" spans="2:2" x14ac:dyDescent="0.2">
      <c r="B1165" s="48"/>
    </row>
    <row r="1166" spans="2:2" x14ac:dyDescent="0.2">
      <c r="B1166" s="48"/>
    </row>
    <row r="1167" spans="2:2" x14ac:dyDescent="0.2">
      <c r="B1167" s="48"/>
    </row>
    <row r="1168" spans="2:2" x14ac:dyDescent="0.2">
      <c r="B1168" s="48"/>
    </row>
    <row r="1169" spans="2:2" x14ac:dyDescent="0.2">
      <c r="B1169" s="48"/>
    </row>
    <row r="1170" spans="2:2" x14ac:dyDescent="0.2">
      <c r="B1170" s="48"/>
    </row>
    <row r="1171" spans="2:2" x14ac:dyDescent="0.2">
      <c r="B1171" s="48"/>
    </row>
    <row r="1172" spans="2:2" x14ac:dyDescent="0.2">
      <c r="B1172" s="48"/>
    </row>
    <row r="1173" spans="2:2" x14ac:dyDescent="0.2">
      <c r="B1173" s="48"/>
    </row>
    <row r="1174" spans="2:2" x14ac:dyDescent="0.2">
      <c r="B1174" s="48"/>
    </row>
    <row r="1175" spans="2:2" x14ac:dyDescent="0.2">
      <c r="B1175" s="48"/>
    </row>
    <row r="1176" spans="2:2" x14ac:dyDescent="0.2">
      <c r="B1176" s="48"/>
    </row>
    <row r="1177" spans="2:2" x14ac:dyDescent="0.2">
      <c r="B1177" s="48"/>
    </row>
    <row r="1178" spans="2:2" x14ac:dyDescent="0.2">
      <c r="B1178" s="48"/>
    </row>
    <row r="1179" spans="2:2" x14ac:dyDescent="0.2">
      <c r="B1179" s="48"/>
    </row>
    <row r="1180" spans="2:2" x14ac:dyDescent="0.2">
      <c r="B1180" s="48"/>
    </row>
    <row r="1181" spans="2:2" x14ac:dyDescent="0.2">
      <c r="B1181" s="48"/>
    </row>
    <row r="1182" spans="2:2" x14ac:dyDescent="0.2">
      <c r="B1182" s="48"/>
    </row>
    <row r="1183" spans="2:2" x14ac:dyDescent="0.2">
      <c r="B1183" s="48"/>
    </row>
    <row r="1184" spans="2:2" x14ac:dyDescent="0.2">
      <c r="B1184" s="48"/>
    </row>
    <row r="1185" spans="2:2" x14ac:dyDescent="0.2">
      <c r="B1185" s="48"/>
    </row>
    <row r="1186" spans="2:2" x14ac:dyDescent="0.2">
      <c r="B1186" s="48"/>
    </row>
    <row r="1187" spans="2:2" x14ac:dyDescent="0.2">
      <c r="B1187" s="48"/>
    </row>
    <row r="1188" spans="2:2" x14ac:dyDescent="0.2">
      <c r="B1188" s="48"/>
    </row>
    <row r="1189" spans="2:2" x14ac:dyDescent="0.2">
      <c r="B1189" s="48"/>
    </row>
    <row r="1190" spans="2:2" x14ac:dyDescent="0.2">
      <c r="B1190" s="48"/>
    </row>
    <row r="1191" spans="2:2" x14ac:dyDescent="0.2">
      <c r="B1191" s="48"/>
    </row>
    <row r="1192" spans="2:2" x14ac:dyDescent="0.2">
      <c r="B1192" s="48"/>
    </row>
    <row r="1193" spans="2:2" x14ac:dyDescent="0.2">
      <c r="B1193" s="48"/>
    </row>
    <row r="1194" spans="2:2" x14ac:dyDescent="0.2">
      <c r="B1194" s="48"/>
    </row>
    <row r="1195" spans="2:2" x14ac:dyDescent="0.2">
      <c r="B1195" s="48"/>
    </row>
    <row r="1196" spans="2:2" x14ac:dyDescent="0.2">
      <c r="B1196" s="48"/>
    </row>
    <row r="1197" spans="2:2" x14ac:dyDescent="0.2">
      <c r="B1197" s="48"/>
    </row>
    <row r="1198" spans="2:2" x14ac:dyDescent="0.2">
      <c r="B1198" s="48"/>
    </row>
    <row r="1199" spans="2:2" x14ac:dyDescent="0.2">
      <c r="B1199" s="48"/>
    </row>
    <row r="1200" spans="2:2" x14ac:dyDescent="0.2">
      <c r="B1200" s="48"/>
    </row>
    <row r="1201" spans="2:2" x14ac:dyDescent="0.2">
      <c r="B1201" s="48"/>
    </row>
    <row r="1202" spans="2:2" x14ac:dyDescent="0.2">
      <c r="B1202" s="48"/>
    </row>
    <row r="1203" spans="2:2" x14ac:dyDescent="0.2">
      <c r="B1203" s="48"/>
    </row>
    <row r="1204" spans="2:2" x14ac:dyDescent="0.2">
      <c r="B1204" s="48"/>
    </row>
    <row r="1205" spans="2:2" x14ac:dyDescent="0.2">
      <c r="B1205" s="48"/>
    </row>
    <row r="1206" spans="2:2" x14ac:dyDescent="0.2">
      <c r="B1206" s="48"/>
    </row>
    <row r="1207" spans="2:2" x14ac:dyDescent="0.2">
      <c r="B1207" s="48"/>
    </row>
    <row r="1208" spans="2:2" x14ac:dyDescent="0.2">
      <c r="B1208" s="48"/>
    </row>
    <row r="1209" spans="2:2" x14ac:dyDescent="0.2">
      <c r="B1209" s="48"/>
    </row>
    <row r="1210" spans="2:2" x14ac:dyDescent="0.2">
      <c r="B1210" s="48"/>
    </row>
    <row r="1211" spans="2:2" x14ac:dyDescent="0.2">
      <c r="B1211" s="48"/>
    </row>
    <row r="1212" spans="2:2" x14ac:dyDescent="0.2">
      <c r="B1212" s="48"/>
    </row>
    <row r="1213" spans="2:2" x14ac:dyDescent="0.2">
      <c r="B1213" s="48"/>
    </row>
    <row r="1214" spans="2:2" x14ac:dyDescent="0.2">
      <c r="B1214" s="48"/>
    </row>
    <row r="1215" spans="2:2" x14ac:dyDescent="0.2">
      <c r="B1215" s="48"/>
    </row>
    <row r="1216" spans="2:2" x14ac:dyDescent="0.2">
      <c r="B1216" s="48"/>
    </row>
    <row r="1217" spans="2:2" x14ac:dyDescent="0.2">
      <c r="B1217" s="48"/>
    </row>
    <row r="1218" spans="2:2" x14ac:dyDescent="0.2">
      <c r="B1218" s="48"/>
    </row>
    <row r="1219" spans="2:2" x14ac:dyDescent="0.2">
      <c r="B1219" s="48"/>
    </row>
    <row r="1220" spans="2:2" x14ac:dyDescent="0.2">
      <c r="B1220" s="48"/>
    </row>
    <row r="1221" spans="2:2" x14ac:dyDescent="0.2">
      <c r="B1221" s="48"/>
    </row>
    <row r="1222" spans="2:2" x14ac:dyDescent="0.2">
      <c r="B1222" s="48"/>
    </row>
    <row r="1223" spans="2:2" x14ac:dyDescent="0.2">
      <c r="B1223" s="48"/>
    </row>
    <row r="1224" spans="2:2" x14ac:dyDescent="0.2">
      <c r="B1224" s="48"/>
    </row>
    <row r="1225" spans="2:2" x14ac:dyDescent="0.2">
      <c r="B1225" s="48"/>
    </row>
    <row r="1226" spans="2:2" x14ac:dyDescent="0.2">
      <c r="B1226" s="48"/>
    </row>
    <row r="1227" spans="2:2" x14ac:dyDescent="0.2">
      <c r="B1227" s="48"/>
    </row>
    <row r="1228" spans="2:2" x14ac:dyDescent="0.2">
      <c r="B1228" s="48"/>
    </row>
    <row r="1229" spans="2:2" x14ac:dyDescent="0.2">
      <c r="B1229" s="48"/>
    </row>
    <row r="1230" spans="2:2" x14ac:dyDescent="0.2">
      <c r="B1230" s="48"/>
    </row>
    <row r="1231" spans="2:2" x14ac:dyDescent="0.2">
      <c r="B1231" s="48"/>
    </row>
    <row r="1232" spans="2:2" x14ac:dyDescent="0.2">
      <c r="B1232" s="48"/>
    </row>
    <row r="1233" spans="2:2" x14ac:dyDescent="0.2">
      <c r="B1233" s="48"/>
    </row>
    <row r="1234" spans="2:2" x14ac:dyDescent="0.2">
      <c r="B1234" s="48"/>
    </row>
    <row r="1235" spans="2:2" x14ac:dyDescent="0.2">
      <c r="B1235" s="48"/>
    </row>
    <row r="1236" spans="2:2" x14ac:dyDescent="0.2">
      <c r="B1236" s="48"/>
    </row>
    <row r="1237" spans="2:2" x14ac:dyDescent="0.2">
      <c r="B1237" s="48"/>
    </row>
    <row r="1238" spans="2:2" x14ac:dyDescent="0.2">
      <c r="B1238" s="48"/>
    </row>
    <row r="1239" spans="2:2" x14ac:dyDescent="0.2">
      <c r="B1239" s="48"/>
    </row>
    <row r="1240" spans="2:2" x14ac:dyDescent="0.2">
      <c r="B1240" s="48"/>
    </row>
    <row r="1241" spans="2:2" x14ac:dyDescent="0.2">
      <c r="B1241" s="48"/>
    </row>
    <row r="1242" spans="2:2" x14ac:dyDescent="0.2">
      <c r="B1242" s="48"/>
    </row>
    <row r="1243" spans="2:2" x14ac:dyDescent="0.2">
      <c r="B1243" s="48"/>
    </row>
    <row r="1244" spans="2:2" x14ac:dyDescent="0.2">
      <c r="B1244" s="48"/>
    </row>
    <row r="1245" spans="2:2" x14ac:dyDescent="0.2">
      <c r="B1245" s="48"/>
    </row>
    <row r="1246" spans="2:2" x14ac:dyDescent="0.2">
      <c r="B1246" s="48"/>
    </row>
    <row r="1247" spans="2:2" x14ac:dyDescent="0.2">
      <c r="B1247" s="48"/>
    </row>
    <row r="1248" spans="2:2" x14ac:dyDescent="0.2">
      <c r="B1248" s="48"/>
    </row>
    <row r="1249" spans="2:2" x14ac:dyDescent="0.2">
      <c r="B1249" s="48"/>
    </row>
    <row r="1250" spans="2:2" x14ac:dyDescent="0.2">
      <c r="B1250" s="48"/>
    </row>
    <row r="1251" spans="2:2" x14ac:dyDescent="0.2">
      <c r="B1251" s="48"/>
    </row>
    <row r="1252" spans="2:2" x14ac:dyDescent="0.2">
      <c r="B1252" s="48"/>
    </row>
    <row r="1253" spans="2:2" x14ac:dyDescent="0.2">
      <c r="B1253" s="48"/>
    </row>
    <row r="1254" spans="2:2" x14ac:dyDescent="0.2">
      <c r="B1254" s="48"/>
    </row>
    <row r="1255" spans="2:2" x14ac:dyDescent="0.2">
      <c r="B1255" s="48"/>
    </row>
    <row r="1256" spans="2:2" x14ac:dyDescent="0.2">
      <c r="B1256" s="48"/>
    </row>
    <row r="1257" spans="2:2" x14ac:dyDescent="0.2">
      <c r="B1257" s="48"/>
    </row>
    <row r="1258" spans="2:2" x14ac:dyDescent="0.2">
      <c r="B1258" s="48"/>
    </row>
    <row r="1259" spans="2:2" x14ac:dyDescent="0.2">
      <c r="B1259" s="48"/>
    </row>
    <row r="1260" spans="2:2" x14ac:dyDescent="0.2">
      <c r="B1260" s="48"/>
    </row>
    <row r="1261" spans="2:2" x14ac:dyDescent="0.2">
      <c r="B1261" s="48"/>
    </row>
    <row r="1262" spans="2:2" x14ac:dyDescent="0.2">
      <c r="B1262" s="48"/>
    </row>
    <row r="1263" spans="2:2" x14ac:dyDescent="0.2">
      <c r="B1263" s="48"/>
    </row>
    <row r="1264" spans="2:2" x14ac:dyDescent="0.2">
      <c r="B1264" s="48"/>
    </row>
    <row r="1265" spans="2:2" x14ac:dyDescent="0.2">
      <c r="B1265" s="48"/>
    </row>
    <row r="1266" spans="2:2" x14ac:dyDescent="0.2">
      <c r="B1266" s="48"/>
    </row>
    <row r="1267" spans="2:2" x14ac:dyDescent="0.2">
      <c r="B1267" s="48"/>
    </row>
    <row r="1268" spans="2:2" x14ac:dyDescent="0.2">
      <c r="B1268" s="48"/>
    </row>
    <row r="1269" spans="2:2" x14ac:dyDescent="0.2">
      <c r="B1269" s="48"/>
    </row>
    <row r="1270" spans="2:2" x14ac:dyDescent="0.2">
      <c r="B1270" s="48"/>
    </row>
    <row r="1271" spans="2:2" x14ac:dyDescent="0.2">
      <c r="B1271" s="48"/>
    </row>
    <row r="1272" spans="2:2" x14ac:dyDescent="0.2">
      <c r="B1272" s="48"/>
    </row>
    <row r="1273" spans="2:2" x14ac:dyDescent="0.2">
      <c r="B1273" s="48"/>
    </row>
    <row r="1274" spans="2:2" x14ac:dyDescent="0.2">
      <c r="B1274" s="48"/>
    </row>
    <row r="1275" spans="2:2" x14ac:dyDescent="0.2">
      <c r="B1275" s="48"/>
    </row>
    <row r="1276" spans="2:2" x14ac:dyDescent="0.2">
      <c r="B1276" s="48"/>
    </row>
    <row r="1277" spans="2:2" x14ac:dyDescent="0.2">
      <c r="B1277" s="48"/>
    </row>
    <row r="1278" spans="2:2" x14ac:dyDescent="0.2">
      <c r="B1278" s="48"/>
    </row>
    <row r="1279" spans="2:2" x14ac:dyDescent="0.2">
      <c r="B1279" s="48"/>
    </row>
    <row r="1280" spans="2:2" x14ac:dyDescent="0.2">
      <c r="B1280" s="48"/>
    </row>
    <row r="1281" spans="2:2" x14ac:dyDescent="0.2">
      <c r="B1281" s="48"/>
    </row>
    <row r="1282" spans="2:2" x14ac:dyDescent="0.2">
      <c r="B1282" s="48"/>
    </row>
    <row r="1283" spans="2:2" x14ac:dyDescent="0.2">
      <c r="B1283" s="48"/>
    </row>
    <row r="1284" spans="2:2" x14ac:dyDescent="0.2">
      <c r="B1284" s="48"/>
    </row>
    <row r="1285" spans="2:2" x14ac:dyDescent="0.2">
      <c r="B1285" s="48"/>
    </row>
    <row r="1286" spans="2:2" x14ac:dyDescent="0.2">
      <c r="B1286" s="48"/>
    </row>
    <row r="1287" spans="2:2" x14ac:dyDescent="0.2">
      <c r="B1287" s="48"/>
    </row>
    <row r="1288" spans="2:2" x14ac:dyDescent="0.2">
      <c r="B1288" s="48"/>
    </row>
    <row r="1289" spans="2:2" x14ac:dyDescent="0.2">
      <c r="B1289" s="48"/>
    </row>
    <row r="1290" spans="2:2" x14ac:dyDescent="0.2">
      <c r="B1290" s="48"/>
    </row>
    <row r="1291" spans="2:2" x14ac:dyDescent="0.2">
      <c r="B1291" s="48"/>
    </row>
    <row r="1292" spans="2:2" x14ac:dyDescent="0.2">
      <c r="B1292" s="48"/>
    </row>
    <row r="1293" spans="2:2" x14ac:dyDescent="0.2">
      <c r="B1293" s="48"/>
    </row>
    <row r="1294" spans="2:2" x14ac:dyDescent="0.2">
      <c r="B1294" s="48"/>
    </row>
    <row r="1295" spans="2:2" x14ac:dyDescent="0.2">
      <c r="B1295" s="48"/>
    </row>
    <row r="1296" spans="2:2" x14ac:dyDescent="0.2">
      <c r="B1296" s="48"/>
    </row>
    <row r="1297" spans="2:2" x14ac:dyDescent="0.2">
      <c r="B1297" s="48"/>
    </row>
    <row r="1298" spans="2:2" x14ac:dyDescent="0.2">
      <c r="B1298" s="48"/>
    </row>
    <row r="1299" spans="2:2" x14ac:dyDescent="0.2">
      <c r="B1299" s="48"/>
    </row>
    <row r="1300" spans="2:2" x14ac:dyDescent="0.2">
      <c r="B1300" s="48"/>
    </row>
    <row r="1301" spans="2:2" x14ac:dyDescent="0.2">
      <c r="B1301" s="48"/>
    </row>
    <row r="1302" spans="2:2" x14ac:dyDescent="0.2">
      <c r="B1302" s="48"/>
    </row>
    <row r="1303" spans="2:2" x14ac:dyDescent="0.2">
      <c r="B1303" s="48"/>
    </row>
    <row r="1304" spans="2:2" x14ac:dyDescent="0.2">
      <c r="B1304" s="48"/>
    </row>
    <row r="1305" spans="2:2" x14ac:dyDescent="0.2">
      <c r="B1305" s="48"/>
    </row>
    <row r="1306" spans="2:2" x14ac:dyDescent="0.2">
      <c r="B1306" s="48"/>
    </row>
    <row r="1307" spans="2:2" x14ac:dyDescent="0.2">
      <c r="B1307" s="48"/>
    </row>
    <row r="1308" spans="2:2" x14ac:dyDescent="0.2">
      <c r="B1308" s="48"/>
    </row>
    <row r="1309" spans="2:2" x14ac:dyDescent="0.2">
      <c r="B1309" s="48"/>
    </row>
    <row r="1310" spans="2:2" x14ac:dyDescent="0.2">
      <c r="B1310" s="48"/>
    </row>
    <row r="1311" spans="2:2" x14ac:dyDescent="0.2">
      <c r="B1311" s="48"/>
    </row>
    <row r="1312" spans="2:2" x14ac:dyDescent="0.2">
      <c r="B1312" s="48"/>
    </row>
    <row r="1313" spans="2:2" x14ac:dyDescent="0.2">
      <c r="B1313" s="48"/>
    </row>
    <row r="1314" spans="2:2" x14ac:dyDescent="0.2">
      <c r="B1314" s="48"/>
    </row>
    <row r="1315" spans="2:2" x14ac:dyDescent="0.2">
      <c r="B1315" s="48"/>
    </row>
    <row r="1316" spans="2:2" x14ac:dyDescent="0.2">
      <c r="B1316" s="48"/>
    </row>
    <row r="1317" spans="2:2" x14ac:dyDescent="0.2">
      <c r="B1317" s="48"/>
    </row>
    <row r="1318" spans="2:2" x14ac:dyDescent="0.2">
      <c r="B1318" s="48"/>
    </row>
    <row r="1319" spans="2:2" x14ac:dyDescent="0.2">
      <c r="B1319" s="48"/>
    </row>
    <row r="1320" spans="2:2" x14ac:dyDescent="0.2">
      <c r="B1320" s="48"/>
    </row>
    <row r="1321" spans="2:2" x14ac:dyDescent="0.2">
      <c r="B1321" s="48"/>
    </row>
    <row r="1322" spans="2:2" x14ac:dyDescent="0.2">
      <c r="B1322" s="48"/>
    </row>
    <row r="1323" spans="2:2" x14ac:dyDescent="0.2">
      <c r="B1323" s="48"/>
    </row>
    <row r="1324" spans="2:2" x14ac:dyDescent="0.2">
      <c r="B1324" s="48"/>
    </row>
    <row r="1325" spans="2:2" x14ac:dyDescent="0.2">
      <c r="B1325" s="48"/>
    </row>
    <row r="1326" spans="2:2" x14ac:dyDescent="0.2">
      <c r="B1326" s="48"/>
    </row>
    <row r="1327" spans="2:2" x14ac:dyDescent="0.2">
      <c r="B1327" s="48"/>
    </row>
    <row r="1328" spans="2:2" x14ac:dyDescent="0.2">
      <c r="B1328" s="48"/>
    </row>
    <row r="1329" spans="2:2" x14ac:dyDescent="0.2">
      <c r="B1329" s="48"/>
    </row>
    <row r="1330" spans="2:2" x14ac:dyDescent="0.2">
      <c r="B1330" s="48"/>
    </row>
    <row r="1331" spans="2:2" x14ac:dyDescent="0.2">
      <c r="B1331" s="48"/>
    </row>
    <row r="1332" spans="2:2" x14ac:dyDescent="0.2">
      <c r="B1332" s="48"/>
    </row>
    <row r="1333" spans="2:2" x14ac:dyDescent="0.2">
      <c r="B1333" s="48"/>
    </row>
    <row r="1334" spans="2:2" x14ac:dyDescent="0.2">
      <c r="B1334" s="48"/>
    </row>
    <row r="1335" spans="2:2" x14ac:dyDescent="0.2">
      <c r="B1335" s="48"/>
    </row>
    <row r="1336" spans="2:2" x14ac:dyDescent="0.2">
      <c r="B1336" s="48"/>
    </row>
    <row r="1337" spans="2:2" x14ac:dyDescent="0.2">
      <c r="B1337" s="48"/>
    </row>
    <row r="1338" spans="2:2" x14ac:dyDescent="0.2">
      <c r="B1338" s="48"/>
    </row>
    <row r="1339" spans="2:2" x14ac:dyDescent="0.2">
      <c r="B1339" s="48"/>
    </row>
    <row r="1340" spans="2:2" x14ac:dyDescent="0.2">
      <c r="B1340" s="48"/>
    </row>
    <row r="1341" spans="2:2" x14ac:dyDescent="0.2">
      <c r="B1341" s="48"/>
    </row>
    <row r="1342" spans="2:2" x14ac:dyDescent="0.2">
      <c r="B1342" s="48"/>
    </row>
    <row r="1343" spans="2:2" x14ac:dyDescent="0.2">
      <c r="B1343" s="48"/>
    </row>
    <row r="1344" spans="2:2" x14ac:dyDescent="0.2">
      <c r="B1344" s="48"/>
    </row>
    <row r="1345" spans="2:2" x14ac:dyDescent="0.2">
      <c r="B1345" s="48"/>
    </row>
    <row r="1346" spans="2:2" x14ac:dyDescent="0.2">
      <c r="B1346" s="48"/>
    </row>
    <row r="1347" spans="2:2" x14ac:dyDescent="0.2">
      <c r="B1347" s="48"/>
    </row>
    <row r="1348" spans="2:2" x14ac:dyDescent="0.2">
      <c r="B1348" s="48"/>
    </row>
    <row r="1349" spans="2:2" x14ac:dyDescent="0.2">
      <c r="B1349" s="48"/>
    </row>
    <row r="1350" spans="2:2" x14ac:dyDescent="0.2">
      <c r="B1350" s="48"/>
    </row>
    <row r="1351" spans="2:2" x14ac:dyDescent="0.2">
      <c r="B1351" s="48"/>
    </row>
    <row r="1352" spans="2:2" x14ac:dyDescent="0.2">
      <c r="B1352" s="48"/>
    </row>
    <row r="1353" spans="2:2" x14ac:dyDescent="0.2">
      <c r="B1353" s="48"/>
    </row>
    <row r="1354" spans="2:2" x14ac:dyDescent="0.2">
      <c r="B1354" s="48"/>
    </row>
    <row r="1355" spans="2:2" x14ac:dyDescent="0.2">
      <c r="B1355" s="48"/>
    </row>
    <row r="1356" spans="2:2" x14ac:dyDescent="0.2">
      <c r="B1356" s="48"/>
    </row>
    <row r="1357" spans="2:2" x14ac:dyDescent="0.2">
      <c r="B1357" s="48"/>
    </row>
    <row r="1358" spans="2:2" x14ac:dyDescent="0.2">
      <c r="B1358" s="48"/>
    </row>
    <row r="1359" spans="2:2" x14ac:dyDescent="0.2">
      <c r="B1359" s="48"/>
    </row>
    <row r="1360" spans="2:2" x14ac:dyDescent="0.2">
      <c r="B1360" s="48"/>
    </row>
    <row r="1361" spans="2:2" x14ac:dyDescent="0.2">
      <c r="B1361" s="48"/>
    </row>
    <row r="1362" spans="2:2" x14ac:dyDescent="0.2">
      <c r="B1362" s="48"/>
    </row>
    <row r="1363" spans="2:2" x14ac:dyDescent="0.2">
      <c r="B1363" s="48"/>
    </row>
    <row r="1364" spans="2:2" x14ac:dyDescent="0.2">
      <c r="B1364" s="48"/>
    </row>
    <row r="1365" spans="2:2" x14ac:dyDescent="0.2">
      <c r="B1365" s="48"/>
    </row>
    <row r="1366" spans="2:2" x14ac:dyDescent="0.2">
      <c r="B1366" s="48"/>
    </row>
    <row r="1367" spans="2:2" x14ac:dyDescent="0.2">
      <c r="B1367" s="48"/>
    </row>
    <row r="1368" spans="2:2" x14ac:dyDescent="0.2">
      <c r="B1368" s="48"/>
    </row>
    <row r="1369" spans="2:2" x14ac:dyDescent="0.2">
      <c r="B1369" s="48"/>
    </row>
    <row r="1370" spans="2:2" x14ac:dyDescent="0.2">
      <c r="B1370" s="48"/>
    </row>
    <row r="1371" spans="2:2" x14ac:dyDescent="0.2">
      <c r="B1371" s="48"/>
    </row>
    <row r="1372" spans="2:2" x14ac:dyDescent="0.2">
      <c r="B1372" s="48"/>
    </row>
    <row r="1373" spans="2:2" x14ac:dyDescent="0.2">
      <c r="B1373" s="48"/>
    </row>
    <row r="1374" spans="2:2" x14ac:dyDescent="0.2">
      <c r="B1374" s="48"/>
    </row>
    <row r="1375" spans="2:2" x14ac:dyDescent="0.2">
      <c r="B1375" s="48"/>
    </row>
    <row r="1376" spans="2:2" x14ac:dyDescent="0.2">
      <c r="B1376" s="48"/>
    </row>
    <row r="1377" spans="2:2" x14ac:dyDescent="0.2">
      <c r="B1377" s="48"/>
    </row>
    <row r="1378" spans="2:2" x14ac:dyDescent="0.2">
      <c r="B1378" s="48"/>
    </row>
    <row r="1379" spans="2:2" x14ac:dyDescent="0.2">
      <c r="B1379" s="48"/>
    </row>
    <row r="1380" spans="2:2" x14ac:dyDescent="0.2">
      <c r="B1380" s="48"/>
    </row>
    <row r="1381" spans="2:2" x14ac:dyDescent="0.2">
      <c r="B1381" s="48"/>
    </row>
    <row r="1382" spans="2:2" x14ac:dyDescent="0.2">
      <c r="B1382" s="48"/>
    </row>
    <row r="1383" spans="2:2" x14ac:dyDescent="0.2">
      <c r="B1383" s="48"/>
    </row>
    <row r="1384" spans="2:2" x14ac:dyDescent="0.2">
      <c r="B1384" s="48"/>
    </row>
    <row r="1385" spans="2:2" x14ac:dyDescent="0.2">
      <c r="B1385" s="48"/>
    </row>
    <row r="1386" spans="2:2" x14ac:dyDescent="0.2">
      <c r="B1386" s="48"/>
    </row>
    <row r="1387" spans="2:2" x14ac:dyDescent="0.2">
      <c r="B1387" s="48"/>
    </row>
    <row r="1388" spans="2:2" x14ac:dyDescent="0.2">
      <c r="B1388" s="48"/>
    </row>
    <row r="1389" spans="2:2" x14ac:dyDescent="0.2">
      <c r="B1389" s="48"/>
    </row>
    <row r="1390" spans="2:2" x14ac:dyDescent="0.2">
      <c r="B1390" s="48"/>
    </row>
    <row r="1391" spans="2:2" x14ac:dyDescent="0.2">
      <c r="B1391" s="48"/>
    </row>
    <row r="1392" spans="2:2" x14ac:dyDescent="0.2">
      <c r="B1392" s="48"/>
    </row>
    <row r="1393" spans="2:2" x14ac:dyDescent="0.2">
      <c r="B1393" s="48"/>
    </row>
    <row r="1394" spans="2:2" x14ac:dyDescent="0.2">
      <c r="B1394" s="48"/>
    </row>
    <row r="1395" spans="2:2" x14ac:dyDescent="0.2">
      <c r="B1395" s="48"/>
    </row>
    <row r="1396" spans="2:2" x14ac:dyDescent="0.2">
      <c r="B1396" s="48"/>
    </row>
    <row r="1397" spans="2:2" x14ac:dyDescent="0.2">
      <c r="B1397" s="48"/>
    </row>
    <row r="1398" spans="2:2" x14ac:dyDescent="0.2">
      <c r="B1398" s="48"/>
    </row>
    <row r="1399" spans="2:2" x14ac:dyDescent="0.2">
      <c r="B1399" s="48"/>
    </row>
    <row r="1400" spans="2:2" x14ac:dyDescent="0.2">
      <c r="B1400" s="48"/>
    </row>
    <row r="1401" spans="2:2" x14ac:dyDescent="0.2">
      <c r="B1401" s="48"/>
    </row>
    <row r="1402" spans="2:2" x14ac:dyDescent="0.2">
      <c r="B1402" s="48"/>
    </row>
    <row r="1403" spans="2:2" x14ac:dyDescent="0.2">
      <c r="B1403" s="48"/>
    </row>
    <row r="1404" spans="2:2" x14ac:dyDescent="0.2">
      <c r="B1404" s="48"/>
    </row>
    <row r="1405" spans="2:2" x14ac:dyDescent="0.2">
      <c r="B1405" s="48"/>
    </row>
    <row r="1406" spans="2:2" x14ac:dyDescent="0.2">
      <c r="B1406" s="48"/>
    </row>
    <row r="1407" spans="2:2" x14ac:dyDescent="0.2">
      <c r="B1407" s="48"/>
    </row>
    <row r="1408" spans="2:2" x14ac:dyDescent="0.2">
      <c r="B1408" s="48"/>
    </row>
    <row r="1409" spans="2:2" x14ac:dyDescent="0.2">
      <c r="B1409" s="48"/>
    </row>
    <row r="1410" spans="2:2" x14ac:dyDescent="0.2">
      <c r="B1410" s="48"/>
    </row>
    <row r="1411" spans="2:2" x14ac:dyDescent="0.2">
      <c r="B1411" s="48"/>
    </row>
    <row r="1412" spans="2:2" x14ac:dyDescent="0.2">
      <c r="B1412" s="48"/>
    </row>
    <row r="1413" spans="2:2" x14ac:dyDescent="0.2">
      <c r="B1413" s="48"/>
    </row>
    <row r="1414" spans="2:2" x14ac:dyDescent="0.2">
      <c r="B1414" s="48"/>
    </row>
    <row r="1415" spans="2:2" x14ac:dyDescent="0.2">
      <c r="B1415" s="48"/>
    </row>
    <row r="1416" spans="2:2" x14ac:dyDescent="0.2">
      <c r="B1416" s="48"/>
    </row>
    <row r="1417" spans="2:2" x14ac:dyDescent="0.2">
      <c r="B1417" s="48"/>
    </row>
    <row r="1418" spans="2:2" x14ac:dyDescent="0.2">
      <c r="B1418" s="48"/>
    </row>
    <row r="1419" spans="2:2" x14ac:dyDescent="0.2">
      <c r="B1419" s="48"/>
    </row>
    <row r="1420" spans="2:2" x14ac:dyDescent="0.2">
      <c r="B1420" s="48"/>
    </row>
    <row r="1421" spans="2:2" x14ac:dyDescent="0.2">
      <c r="B1421" s="48"/>
    </row>
    <row r="1422" spans="2:2" x14ac:dyDescent="0.2">
      <c r="B1422" s="48"/>
    </row>
    <row r="1423" spans="2:2" x14ac:dyDescent="0.2">
      <c r="B1423" s="48"/>
    </row>
    <row r="1424" spans="2:2" x14ac:dyDescent="0.2">
      <c r="B1424" s="48"/>
    </row>
    <row r="1425" spans="2:2" x14ac:dyDescent="0.2">
      <c r="B1425" s="48"/>
    </row>
    <row r="1426" spans="2:2" x14ac:dyDescent="0.2">
      <c r="B1426" s="48"/>
    </row>
    <row r="1427" spans="2:2" x14ac:dyDescent="0.2">
      <c r="B1427" s="48"/>
    </row>
    <row r="1428" spans="2:2" x14ac:dyDescent="0.2">
      <c r="B1428" s="48"/>
    </row>
    <row r="1429" spans="2:2" x14ac:dyDescent="0.2">
      <c r="B1429" s="48"/>
    </row>
    <row r="1430" spans="2:2" x14ac:dyDescent="0.2">
      <c r="B1430" s="48"/>
    </row>
    <row r="1431" spans="2:2" x14ac:dyDescent="0.2">
      <c r="B1431" s="48"/>
    </row>
    <row r="1432" spans="2:2" x14ac:dyDescent="0.2">
      <c r="B1432" s="48"/>
    </row>
    <row r="1433" spans="2:2" x14ac:dyDescent="0.2">
      <c r="B1433" s="48"/>
    </row>
    <row r="1434" spans="2:2" x14ac:dyDescent="0.2">
      <c r="B1434" s="48"/>
    </row>
    <row r="1435" spans="2:2" x14ac:dyDescent="0.2">
      <c r="B1435" s="48"/>
    </row>
    <row r="1436" spans="2:2" x14ac:dyDescent="0.2">
      <c r="B1436" s="48"/>
    </row>
    <row r="1437" spans="2:2" x14ac:dyDescent="0.2">
      <c r="B1437" s="48"/>
    </row>
    <row r="1438" spans="2:2" x14ac:dyDescent="0.2">
      <c r="B1438" s="48"/>
    </row>
    <row r="1439" spans="2:2" x14ac:dyDescent="0.2">
      <c r="B1439" s="48"/>
    </row>
    <row r="1440" spans="2:2" x14ac:dyDescent="0.2">
      <c r="B1440" s="48"/>
    </row>
    <row r="1441" spans="2:2" x14ac:dyDescent="0.2">
      <c r="B1441" s="48"/>
    </row>
    <row r="1442" spans="2:2" x14ac:dyDescent="0.2">
      <c r="B1442" s="48"/>
    </row>
    <row r="1443" spans="2:2" x14ac:dyDescent="0.2">
      <c r="B1443" s="48"/>
    </row>
    <row r="1444" spans="2:2" x14ac:dyDescent="0.2">
      <c r="B1444" s="48"/>
    </row>
    <row r="1445" spans="2:2" x14ac:dyDescent="0.2">
      <c r="B1445" s="48"/>
    </row>
    <row r="1446" spans="2:2" x14ac:dyDescent="0.2">
      <c r="B1446" s="48"/>
    </row>
    <row r="1447" spans="2:2" x14ac:dyDescent="0.2">
      <c r="B1447" s="48"/>
    </row>
    <row r="1448" spans="2:2" x14ac:dyDescent="0.2">
      <c r="B1448" s="48"/>
    </row>
    <row r="1449" spans="2:2" x14ac:dyDescent="0.2">
      <c r="B1449" s="48"/>
    </row>
    <row r="1450" spans="2:2" x14ac:dyDescent="0.2">
      <c r="B1450" s="48"/>
    </row>
    <row r="1451" spans="2:2" x14ac:dyDescent="0.2">
      <c r="B1451" s="48"/>
    </row>
    <row r="1452" spans="2:2" x14ac:dyDescent="0.2">
      <c r="B1452" s="48"/>
    </row>
    <row r="1453" spans="2:2" x14ac:dyDescent="0.2">
      <c r="B1453" s="48"/>
    </row>
    <row r="1454" spans="2:2" x14ac:dyDescent="0.2">
      <c r="B1454" s="48"/>
    </row>
    <row r="1455" spans="2:2" x14ac:dyDescent="0.2">
      <c r="B1455" s="48"/>
    </row>
    <row r="1456" spans="2:2" x14ac:dyDescent="0.2">
      <c r="B1456" s="48"/>
    </row>
    <row r="1457" spans="2:2" x14ac:dyDescent="0.2">
      <c r="B1457" s="48"/>
    </row>
    <row r="1458" spans="2:2" x14ac:dyDescent="0.2">
      <c r="B1458" s="48"/>
    </row>
    <row r="1459" spans="2:2" x14ac:dyDescent="0.2">
      <c r="B1459" s="48"/>
    </row>
    <row r="1460" spans="2:2" x14ac:dyDescent="0.2">
      <c r="B1460" s="48"/>
    </row>
    <row r="1461" spans="2:2" x14ac:dyDescent="0.2">
      <c r="B1461" s="48"/>
    </row>
    <row r="1462" spans="2:2" x14ac:dyDescent="0.2">
      <c r="B1462" s="48"/>
    </row>
    <row r="1463" spans="2:2" x14ac:dyDescent="0.2">
      <c r="B1463" s="48"/>
    </row>
    <row r="1464" spans="2:2" x14ac:dyDescent="0.2">
      <c r="B1464" s="48"/>
    </row>
    <row r="1465" spans="2:2" x14ac:dyDescent="0.2">
      <c r="B1465" s="48"/>
    </row>
    <row r="1466" spans="2:2" x14ac:dyDescent="0.2">
      <c r="B1466" s="48"/>
    </row>
    <row r="1467" spans="2:2" x14ac:dyDescent="0.2">
      <c r="B1467" s="48"/>
    </row>
    <row r="1468" spans="2:2" x14ac:dyDescent="0.2">
      <c r="B1468" s="48"/>
    </row>
    <row r="1469" spans="2:2" x14ac:dyDescent="0.2">
      <c r="B1469" s="48"/>
    </row>
    <row r="1470" spans="2:2" x14ac:dyDescent="0.2">
      <c r="B1470" s="48"/>
    </row>
    <row r="1471" spans="2:2" x14ac:dyDescent="0.2">
      <c r="B1471" s="48"/>
    </row>
    <row r="1472" spans="2:2" x14ac:dyDescent="0.2">
      <c r="B1472" s="48"/>
    </row>
    <row r="1473" spans="2:2" x14ac:dyDescent="0.2">
      <c r="B1473" s="48"/>
    </row>
    <row r="1474" spans="2:2" x14ac:dyDescent="0.2">
      <c r="B1474" s="48"/>
    </row>
    <row r="1475" spans="2:2" x14ac:dyDescent="0.2">
      <c r="B1475" s="48"/>
    </row>
    <row r="1476" spans="2:2" x14ac:dyDescent="0.2">
      <c r="B1476" s="48"/>
    </row>
    <row r="1477" spans="2:2" x14ac:dyDescent="0.2">
      <c r="B1477" s="48"/>
    </row>
    <row r="1478" spans="2:2" x14ac:dyDescent="0.2">
      <c r="B1478" s="48"/>
    </row>
    <row r="1479" spans="2:2" x14ac:dyDescent="0.2">
      <c r="B1479" s="48"/>
    </row>
    <row r="1480" spans="2:2" x14ac:dyDescent="0.2">
      <c r="B1480" s="48"/>
    </row>
    <row r="1481" spans="2:2" x14ac:dyDescent="0.2">
      <c r="B1481" s="48"/>
    </row>
    <row r="1482" spans="2:2" x14ac:dyDescent="0.2">
      <c r="B1482" s="48"/>
    </row>
    <row r="1483" spans="2:2" x14ac:dyDescent="0.2">
      <c r="B1483" s="48"/>
    </row>
    <row r="1484" spans="2:2" x14ac:dyDescent="0.2">
      <c r="B1484" s="48"/>
    </row>
    <row r="1485" spans="2:2" x14ac:dyDescent="0.2">
      <c r="B1485" s="48"/>
    </row>
    <row r="1486" spans="2:2" x14ac:dyDescent="0.2">
      <c r="B1486" s="48"/>
    </row>
    <row r="1487" spans="2:2" x14ac:dyDescent="0.2">
      <c r="B1487" s="48"/>
    </row>
    <row r="1488" spans="2:2" x14ac:dyDescent="0.2">
      <c r="B1488" s="48"/>
    </row>
    <row r="1489" spans="2:2" x14ac:dyDescent="0.2">
      <c r="B1489" s="48"/>
    </row>
    <row r="1490" spans="2:2" x14ac:dyDescent="0.2">
      <c r="B1490" s="48"/>
    </row>
    <row r="1491" spans="2:2" x14ac:dyDescent="0.2">
      <c r="B1491" s="48"/>
    </row>
    <row r="1492" spans="2:2" x14ac:dyDescent="0.2">
      <c r="B1492" s="48"/>
    </row>
    <row r="1493" spans="2:2" x14ac:dyDescent="0.2">
      <c r="B1493" s="48"/>
    </row>
    <row r="1494" spans="2:2" x14ac:dyDescent="0.2">
      <c r="B1494" s="48"/>
    </row>
    <row r="1495" spans="2:2" x14ac:dyDescent="0.2">
      <c r="B1495" s="48"/>
    </row>
    <row r="1496" spans="2:2" x14ac:dyDescent="0.2">
      <c r="B1496" s="48"/>
    </row>
    <row r="1497" spans="2:2" x14ac:dyDescent="0.2">
      <c r="B1497" s="48"/>
    </row>
    <row r="1498" spans="2:2" x14ac:dyDescent="0.2">
      <c r="B1498" s="48"/>
    </row>
    <row r="1499" spans="2:2" x14ac:dyDescent="0.2">
      <c r="B1499" s="48"/>
    </row>
    <row r="1500" spans="2:2" x14ac:dyDescent="0.2">
      <c r="B1500" s="48"/>
    </row>
    <row r="1501" spans="2:2" x14ac:dyDescent="0.2">
      <c r="B1501" s="48"/>
    </row>
    <row r="1502" spans="2:2" x14ac:dyDescent="0.2">
      <c r="B1502" s="48"/>
    </row>
    <row r="1503" spans="2:2" x14ac:dyDescent="0.2">
      <c r="B1503" s="48"/>
    </row>
    <row r="1504" spans="2:2" x14ac:dyDescent="0.2">
      <c r="B1504" s="48"/>
    </row>
    <row r="1505" spans="2:2" x14ac:dyDescent="0.2">
      <c r="B1505" s="48"/>
    </row>
    <row r="1506" spans="2:2" x14ac:dyDescent="0.2">
      <c r="B1506" s="48"/>
    </row>
    <row r="1507" spans="2:2" x14ac:dyDescent="0.2">
      <c r="B1507" s="48"/>
    </row>
    <row r="1508" spans="2:2" x14ac:dyDescent="0.2">
      <c r="B1508" s="48"/>
    </row>
    <row r="1509" spans="2:2" x14ac:dyDescent="0.2">
      <c r="B1509" s="48"/>
    </row>
    <row r="1510" spans="2:2" x14ac:dyDescent="0.2">
      <c r="B1510" s="48"/>
    </row>
    <row r="1511" spans="2:2" x14ac:dyDescent="0.2">
      <c r="B1511" s="48"/>
    </row>
    <row r="1512" spans="2:2" x14ac:dyDescent="0.2">
      <c r="B1512" s="48"/>
    </row>
    <row r="1513" spans="2:2" x14ac:dyDescent="0.2">
      <c r="B1513" s="48"/>
    </row>
    <row r="1514" spans="2:2" x14ac:dyDescent="0.2">
      <c r="B1514" s="48"/>
    </row>
    <row r="1515" spans="2:2" x14ac:dyDescent="0.2">
      <c r="B1515" s="48"/>
    </row>
    <row r="1516" spans="2:2" x14ac:dyDescent="0.2">
      <c r="B1516" s="48"/>
    </row>
    <row r="1517" spans="2:2" x14ac:dyDescent="0.2">
      <c r="B1517" s="48"/>
    </row>
    <row r="1518" spans="2:2" x14ac:dyDescent="0.2">
      <c r="B1518" s="48"/>
    </row>
    <row r="1519" spans="2:2" x14ac:dyDescent="0.2">
      <c r="B1519" s="48"/>
    </row>
    <row r="1520" spans="2:2" x14ac:dyDescent="0.2">
      <c r="B1520" s="48"/>
    </row>
    <row r="1521" spans="2:2" x14ac:dyDescent="0.2">
      <c r="B1521" s="48"/>
    </row>
    <row r="1522" spans="2:2" x14ac:dyDescent="0.2">
      <c r="B1522" s="48"/>
    </row>
    <row r="1523" spans="2:2" x14ac:dyDescent="0.2">
      <c r="B1523" s="48"/>
    </row>
    <row r="1524" spans="2:2" x14ac:dyDescent="0.2">
      <c r="B1524" s="48"/>
    </row>
    <row r="1525" spans="2:2" x14ac:dyDescent="0.2">
      <c r="B1525" s="48"/>
    </row>
    <row r="1526" spans="2:2" x14ac:dyDescent="0.2">
      <c r="B1526" s="48"/>
    </row>
    <row r="1527" spans="2:2" x14ac:dyDescent="0.2">
      <c r="B1527" s="48"/>
    </row>
    <row r="1528" spans="2:2" x14ac:dyDescent="0.2">
      <c r="B1528" s="48"/>
    </row>
    <row r="1529" spans="2:2" x14ac:dyDescent="0.2">
      <c r="B1529" s="48"/>
    </row>
    <row r="1530" spans="2:2" x14ac:dyDescent="0.2">
      <c r="B1530" s="48"/>
    </row>
    <row r="1531" spans="2:2" x14ac:dyDescent="0.2">
      <c r="B1531" s="48"/>
    </row>
    <row r="1532" spans="2:2" x14ac:dyDescent="0.2">
      <c r="B1532" s="48"/>
    </row>
    <row r="1533" spans="2:2" x14ac:dyDescent="0.2">
      <c r="B1533" s="48"/>
    </row>
    <row r="1534" spans="2:2" x14ac:dyDescent="0.2">
      <c r="B1534" s="48"/>
    </row>
    <row r="1535" spans="2:2" x14ac:dyDescent="0.2">
      <c r="B1535" s="48"/>
    </row>
    <row r="1536" spans="2:2" x14ac:dyDescent="0.2">
      <c r="B1536" s="48"/>
    </row>
    <row r="1537" spans="2:2" x14ac:dyDescent="0.2">
      <c r="B1537" s="48"/>
    </row>
    <row r="1538" spans="2:2" x14ac:dyDescent="0.2">
      <c r="B1538" s="48"/>
    </row>
    <row r="1539" spans="2:2" x14ac:dyDescent="0.2">
      <c r="B1539" s="48"/>
    </row>
    <row r="1540" spans="2:2" x14ac:dyDescent="0.2">
      <c r="B1540" s="48"/>
    </row>
    <row r="1541" spans="2:2" x14ac:dyDescent="0.2">
      <c r="B1541" s="48"/>
    </row>
    <row r="1542" spans="2:2" x14ac:dyDescent="0.2">
      <c r="B1542" s="48"/>
    </row>
    <row r="1543" spans="2:2" x14ac:dyDescent="0.2">
      <c r="B1543" s="48"/>
    </row>
    <row r="1544" spans="2:2" x14ac:dyDescent="0.2">
      <c r="B1544" s="48"/>
    </row>
    <row r="1545" spans="2:2" x14ac:dyDescent="0.2">
      <c r="B1545" s="48"/>
    </row>
    <row r="1546" spans="2:2" x14ac:dyDescent="0.2">
      <c r="B1546" s="48"/>
    </row>
    <row r="1547" spans="2:2" x14ac:dyDescent="0.2">
      <c r="B1547" s="48"/>
    </row>
    <row r="1548" spans="2:2" x14ac:dyDescent="0.2">
      <c r="B1548" s="48"/>
    </row>
    <row r="1549" spans="2:2" x14ac:dyDescent="0.2">
      <c r="B1549" s="48"/>
    </row>
    <row r="1550" spans="2:2" x14ac:dyDescent="0.2">
      <c r="B1550" s="48"/>
    </row>
    <row r="1551" spans="2:2" x14ac:dyDescent="0.2">
      <c r="B1551" s="48"/>
    </row>
    <row r="1552" spans="2:2" x14ac:dyDescent="0.2">
      <c r="B1552" s="48"/>
    </row>
    <row r="1553" spans="2:2" x14ac:dyDescent="0.2">
      <c r="B1553" s="48"/>
    </row>
    <row r="1554" spans="2:2" x14ac:dyDescent="0.2">
      <c r="B1554" s="48"/>
    </row>
    <row r="1555" spans="2:2" x14ac:dyDescent="0.2">
      <c r="B1555" s="48"/>
    </row>
    <row r="1556" spans="2:2" x14ac:dyDescent="0.2">
      <c r="B1556" s="48"/>
    </row>
    <row r="1557" spans="2:2" x14ac:dyDescent="0.2">
      <c r="B1557" s="48"/>
    </row>
    <row r="1558" spans="2:2" x14ac:dyDescent="0.2">
      <c r="B1558" s="48"/>
    </row>
    <row r="1559" spans="2:2" x14ac:dyDescent="0.2">
      <c r="B1559" s="48"/>
    </row>
    <row r="1560" spans="2:2" x14ac:dyDescent="0.2">
      <c r="B1560" s="48"/>
    </row>
    <row r="1561" spans="2:2" x14ac:dyDescent="0.2">
      <c r="B1561" s="48"/>
    </row>
    <row r="1562" spans="2:2" x14ac:dyDescent="0.2">
      <c r="B1562" s="48"/>
    </row>
    <row r="1563" spans="2:2" x14ac:dyDescent="0.2">
      <c r="B1563" s="48"/>
    </row>
    <row r="1564" spans="2:2" x14ac:dyDescent="0.2">
      <c r="B1564" s="48"/>
    </row>
    <row r="1565" spans="2:2" x14ac:dyDescent="0.2">
      <c r="B1565" s="48"/>
    </row>
    <row r="1566" spans="2:2" x14ac:dyDescent="0.2">
      <c r="B1566" s="48"/>
    </row>
    <row r="1567" spans="2:2" x14ac:dyDescent="0.2">
      <c r="B1567" s="48"/>
    </row>
    <row r="1568" spans="2:2" x14ac:dyDescent="0.2">
      <c r="B1568" s="48"/>
    </row>
    <row r="1569" spans="2:2" x14ac:dyDescent="0.2">
      <c r="B1569" s="48"/>
    </row>
    <row r="1570" spans="2:2" x14ac:dyDescent="0.2">
      <c r="B1570" s="48"/>
    </row>
    <row r="1571" spans="2:2" x14ac:dyDescent="0.2">
      <c r="B1571" s="48"/>
    </row>
    <row r="1572" spans="2:2" x14ac:dyDescent="0.2">
      <c r="B1572" s="48"/>
    </row>
    <row r="1573" spans="2:2" x14ac:dyDescent="0.2">
      <c r="B1573" s="48"/>
    </row>
    <row r="1574" spans="2:2" x14ac:dyDescent="0.2">
      <c r="B1574" s="48"/>
    </row>
    <row r="1575" spans="2:2" x14ac:dyDescent="0.2">
      <c r="B1575" s="48"/>
    </row>
    <row r="1576" spans="2:2" x14ac:dyDescent="0.2">
      <c r="B1576" s="48"/>
    </row>
    <row r="1577" spans="2:2" x14ac:dyDescent="0.2">
      <c r="B1577" s="48"/>
    </row>
    <row r="1578" spans="2:2" x14ac:dyDescent="0.2">
      <c r="B1578" s="48"/>
    </row>
    <row r="1579" spans="2:2" x14ac:dyDescent="0.2">
      <c r="B1579" s="48"/>
    </row>
    <row r="1580" spans="2:2" x14ac:dyDescent="0.2">
      <c r="B1580" s="48"/>
    </row>
    <row r="1581" spans="2:2" x14ac:dyDescent="0.2">
      <c r="B1581" s="48"/>
    </row>
    <row r="1582" spans="2:2" x14ac:dyDescent="0.2">
      <c r="B1582" s="48"/>
    </row>
    <row r="1583" spans="2:2" x14ac:dyDescent="0.2">
      <c r="B1583" s="48"/>
    </row>
    <row r="1584" spans="2:2" x14ac:dyDescent="0.2">
      <c r="B1584" s="48"/>
    </row>
    <row r="1585" spans="2:2" x14ac:dyDescent="0.2">
      <c r="B1585" s="48"/>
    </row>
    <row r="1586" spans="2:2" x14ac:dyDescent="0.2">
      <c r="B1586" s="48"/>
    </row>
    <row r="1587" spans="2:2" x14ac:dyDescent="0.2">
      <c r="B1587" s="48"/>
    </row>
    <row r="1588" spans="2:2" x14ac:dyDescent="0.2">
      <c r="B1588" s="48"/>
    </row>
    <row r="1589" spans="2:2" x14ac:dyDescent="0.2">
      <c r="B1589" s="48"/>
    </row>
    <row r="1590" spans="2:2" x14ac:dyDescent="0.2">
      <c r="B1590" s="48"/>
    </row>
    <row r="1591" spans="2:2" x14ac:dyDescent="0.2">
      <c r="B1591" s="48"/>
    </row>
    <row r="1592" spans="2:2" x14ac:dyDescent="0.2">
      <c r="B1592" s="48"/>
    </row>
    <row r="1593" spans="2:2" x14ac:dyDescent="0.2">
      <c r="B1593" s="48"/>
    </row>
    <row r="1594" spans="2:2" x14ac:dyDescent="0.2">
      <c r="B1594" s="48"/>
    </row>
    <row r="1595" spans="2:2" x14ac:dyDescent="0.2">
      <c r="B1595" s="48"/>
    </row>
    <row r="1596" spans="2:2" x14ac:dyDescent="0.2">
      <c r="B1596" s="48"/>
    </row>
    <row r="1597" spans="2:2" x14ac:dyDescent="0.2">
      <c r="B1597" s="48"/>
    </row>
    <row r="1598" spans="2:2" x14ac:dyDescent="0.2">
      <c r="B1598" s="48"/>
    </row>
    <row r="1599" spans="2:2" x14ac:dyDescent="0.2">
      <c r="B1599" s="48"/>
    </row>
    <row r="1600" spans="2:2" x14ac:dyDescent="0.2">
      <c r="B1600" s="48"/>
    </row>
    <row r="1601" spans="2:2" x14ac:dyDescent="0.2">
      <c r="B1601" s="48"/>
    </row>
    <row r="1602" spans="2:2" x14ac:dyDescent="0.2">
      <c r="B1602" s="48"/>
    </row>
    <row r="1603" spans="2:2" x14ac:dyDescent="0.2">
      <c r="B1603" s="48"/>
    </row>
    <row r="1604" spans="2:2" x14ac:dyDescent="0.2">
      <c r="B1604" s="48"/>
    </row>
    <row r="1605" spans="2:2" x14ac:dyDescent="0.2">
      <c r="B1605" s="48"/>
    </row>
    <row r="1606" spans="2:2" x14ac:dyDescent="0.2">
      <c r="B1606" s="48"/>
    </row>
    <row r="1607" spans="2:2" x14ac:dyDescent="0.2">
      <c r="B1607" s="48"/>
    </row>
    <row r="1608" spans="2:2" x14ac:dyDescent="0.2">
      <c r="B1608" s="48"/>
    </row>
    <row r="1609" spans="2:2" x14ac:dyDescent="0.2">
      <c r="B1609" s="48"/>
    </row>
    <row r="1610" spans="2:2" x14ac:dyDescent="0.2">
      <c r="B1610" s="48"/>
    </row>
    <row r="1611" spans="2:2" x14ac:dyDescent="0.2">
      <c r="B1611" s="48"/>
    </row>
    <row r="1612" spans="2:2" x14ac:dyDescent="0.2">
      <c r="B1612" s="48"/>
    </row>
    <row r="1613" spans="2:2" x14ac:dyDescent="0.2">
      <c r="B1613" s="48"/>
    </row>
    <row r="1614" spans="2:2" x14ac:dyDescent="0.2">
      <c r="B1614" s="48"/>
    </row>
    <row r="1615" spans="2:2" x14ac:dyDescent="0.2">
      <c r="B1615" s="48"/>
    </row>
    <row r="1616" spans="2:2" x14ac:dyDescent="0.2">
      <c r="B1616" s="48"/>
    </row>
    <row r="1617" spans="2:2" x14ac:dyDescent="0.2">
      <c r="B1617" s="48"/>
    </row>
    <row r="1618" spans="2:2" x14ac:dyDescent="0.2">
      <c r="B1618" s="48"/>
    </row>
    <row r="1619" spans="2:2" x14ac:dyDescent="0.2">
      <c r="B1619" s="48"/>
    </row>
    <row r="1620" spans="2:2" x14ac:dyDescent="0.2">
      <c r="B1620" s="48"/>
    </row>
    <row r="1621" spans="2:2" x14ac:dyDescent="0.2">
      <c r="B1621" s="48"/>
    </row>
    <row r="1622" spans="2:2" x14ac:dyDescent="0.2">
      <c r="B1622" s="48"/>
    </row>
    <row r="1623" spans="2:2" x14ac:dyDescent="0.2">
      <c r="B1623" s="48"/>
    </row>
    <row r="1624" spans="2:2" x14ac:dyDescent="0.2">
      <c r="B1624" s="48"/>
    </row>
    <row r="1625" spans="2:2" x14ac:dyDescent="0.2">
      <c r="B1625" s="48"/>
    </row>
    <row r="1626" spans="2:2" x14ac:dyDescent="0.2">
      <c r="B1626" s="48"/>
    </row>
    <row r="1627" spans="2:2" x14ac:dyDescent="0.2">
      <c r="B1627" s="48"/>
    </row>
    <row r="1628" spans="2:2" x14ac:dyDescent="0.2">
      <c r="B1628" s="48"/>
    </row>
    <row r="1629" spans="2:2" x14ac:dyDescent="0.2">
      <c r="B1629" s="48"/>
    </row>
    <row r="1630" spans="2:2" x14ac:dyDescent="0.2">
      <c r="B1630" s="48"/>
    </row>
    <row r="1631" spans="2:2" x14ac:dyDescent="0.2">
      <c r="B1631" s="48"/>
    </row>
    <row r="1632" spans="2:2" x14ac:dyDescent="0.2">
      <c r="B1632" s="48"/>
    </row>
    <row r="1633" spans="2:2" x14ac:dyDescent="0.2">
      <c r="B1633" s="48"/>
    </row>
    <row r="1634" spans="2:2" x14ac:dyDescent="0.2">
      <c r="B1634" s="48"/>
    </row>
    <row r="1635" spans="2:2" x14ac:dyDescent="0.2">
      <c r="B1635" s="48"/>
    </row>
    <row r="1636" spans="2:2" x14ac:dyDescent="0.2">
      <c r="B1636" s="48"/>
    </row>
    <row r="1637" spans="2:2" x14ac:dyDescent="0.2">
      <c r="B1637" s="48"/>
    </row>
    <row r="1638" spans="2:2" x14ac:dyDescent="0.2">
      <c r="B1638" s="48"/>
    </row>
    <row r="1639" spans="2:2" x14ac:dyDescent="0.2">
      <c r="B1639" s="48"/>
    </row>
    <row r="1640" spans="2:2" x14ac:dyDescent="0.2">
      <c r="B1640" s="48"/>
    </row>
    <row r="1641" spans="2:2" x14ac:dyDescent="0.2">
      <c r="B1641" s="48"/>
    </row>
    <row r="1642" spans="2:2" x14ac:dyDescent="0.2">
      <c r="B1642" s="48"/>
    </row>
    <row r="1643" spans="2:2" x14ac:dyDescent="0.2">
      <c r="B1643" s="48"/>
    </row>
    <row r="1644" spans="2:2" x14ac:dyDescent="0.2">
      <c r="B1644" s="48"/>
    </row>
    <row r="1645" spans="2:2" x14ac:dyDescent="0.2">
      <c r="B1645" s="48"/>
    </row>
    <row r="1646" spans="2:2" x14ac:dyDescent="0.2">
      <c r="B1646" s="48"/>
    </row>
    <row r="1647" spans="2:2" x14ac:dyDescent="0.2">
      <c r="B1647" s="48"/>
    </row>
    <row r="1648" spans="2:2" x14ac:dyDescent="0.2">
      <c r="B1648" s="48"/>
    </row>
    <row r="1649" spans="2:2" x14ac:dyDescent="0.2">
      <c r="B1649" s="48"/>
    </row>
    <row r="1650" spans="2:2" x14ac:dyDescent="0.2">
      <c r="B1650" s="48"/>
    </row>
    <row r="1651" spans="2:2" x14ac:dyDescent="0.2">
      <c r="B1651" s="48"/>
    </row>
    <row r="1652" spans="2:2" x14ac:dyDescent="0.2">
      <c r="B1652" s="48"/>
    </row>
    <row r="1653" spans="2:2" x14ac:dyDescent="0.2">
      <c r="B1653" s="48"/>
    </row>
    <row r="1654" spans="2:2" x14ac:dyDescent="0.2">
      <c r="B1654" s="48"/>
    </row>
    <row r="1655" spans="2:2" x14ac:dyDescent="0.2">
      <c r="B1655" s="48"/>
    </row>
    <row r="1656" spans="2:2" x14ac:dyDescent="0.2">
      <c r="B1656" s="48"/>
    </row>
    <row r="1657" spans="2:2" x14ac:dyDescent="0.2">
      <c r="B1657" s="48"/>
    </row>
    <row r="1658" spans="2:2" x14ac:dyDescent="0.2">
      <c r="B1658" s="48"/>
    </row>
    <row r="1659" spans="2:2" x14ac:dyDescent="0.2">
      <c r="B1659" s="48"/>
    </row>
    <row r="1660" spans="2:2" x14ac:dyDescent="0.2">
      <c r="B1660" s="48"/>
    </row>
    <row r="1661" spans="2:2" x14ac:dyDescent="0.2">
      <c r="B1661" s="48"/>
    </row>
    <row r="1662" spans="2:2" x14ac:dyDescent="0.2">
      <c r="B1662" s="48"/>
    </row>
    <row r="1663" spans="2:2" x14ac:dyDescent="0.2">
      <c r="B1663" s="48"/>
    </row>
    <row r="1664" spans="2:2" x14ac:dyDescent="0.2">
      <c r="B1664" s="48"/>
    </row>
    <row r="1665" spans="2:2" x14ac:dyDescent="0.2">
      <c r="B1665" s="48"/>
    </row>
    <row r="1666" spans="2:2" x14ac:dyDescent="0.2">
      <c r="B1666" s="48"/>
    </row>
    <row r="1667" spans="2:2" x14ac:dyDescent="0.2">
      <c r="B1667" s="48"/>
    </row>
    <row r="1668" spans="2:2" x14ac:dyDescent="0.2">
      <c r="B1668" s="48"/>
    </row>
    <row r="1669" spans="2:2" x14ac:dyDescent="0.2">
      <c r="B1669" s="48"/>
    </row>
    <row r="1670" spans="2:2" x14ac:dyDescent="0.2">
      <c r="B1670" s="48"/>
    </row>
    <row r="1671" spans="2:2" x14ac:dyDescent="0.2">
      <c r="B1671" s="48"/>
    </row>
    <row r="1672" spans="2:2" x14ac:dyDescent="0.2">
      <c r="B1672" s="48"/>
    </row>
    <row r="1673" spans="2:2" x14ac:dyDescent="0.2">
      <c r="B1673" s="48"/>
    </row>
    <row r="1674" spans="2:2" x14ac:dyDescent="0.2">
      <c r="B1674" s="48"/>
    </row>
    <row r="1675" spans="2:2" x14ac:dyDescent="0.2">
      <c r="B1675" s="48"/>
    </row>
    <row r="1676" spans="2:2" x14ac:dyDescent="0.2">
      <c r="B1676" s="48"/>
    </row>
    <row r="1677" spans="2:2" x14ac:dyDescent="0.2">
      <c r="B1677" s="48"/>
    </row>
    <row r="1678" spans="2:2" x14ac:dyDescent="0.2">
      <c r="B1678" s="48"/>
    </row>
    <row r="1679" spans="2:2" x14ac:dyDescent="0.2">
      <c r="B1679" s="48"/>
    </row>
    <row r="1680" spans="2:2" x14ac:dyDescent="0.2">
      <c r="B1680" s="48"/>
    </row>
    <row r="1681" spans="2:2" x14ac:dyDescent="0.2">
      <c r="B1681" s="48"/>
    </row>
    <row r="1682" spans="2:2" x14ac:dyDescent="0.2">
      <c r="B1682" s="48"/>
    </row>
    <row r="1683" spans="2:2" x14ac:dyDescent="0.2">
      <c r="B1683" s="48"/>
    </row>
    <row r="1684" spans="2:2" x14ac:dyDescent="0.2">
      <c r="B1684" s="48"/>
    </row>
    <row r="1685" spans="2:2" x14ac:dyDescent="0.2">
      <c r="B1685" s="48"/>
    </row>
    <row r="1686" spans="2:2" x14ac:dyDescent="0.2">
      <c r="B1686" s="48"/>
    </row>
    <row r="1687" spans="2:2" x14ac:dyDescent="0.2">
      <c r="B1687" s="48"/>
    </row>
    <row r="1688" spans="2:2" x14ac:dyDescent="0.2">
      <c r="B1688" s="48"/>
    </row>
    <row r="1689" spans="2:2" x14ac:dyDescent="0.2">
      <c r="B1689" s="48"/>
    </row>
    <row r="1690" spans="2:2" x14ac:dyDescent="0.2">
      <c r="B1690" s="48"/>
    </row>
    <row r="1691" spans="2:2" x14ac:dyDescent="0.2">
      <c r="B1691" s="48"/>
    </row>
    <row r="1692" spans="2:2" x14ac:dyDescent="0.2">
      <c r="B1692" s="48"/>
    </row>
    <row r="1693" spans="2:2" x14ac:dyDescent="0.2">
      <c r="B1693" s="48"/>
    </row>
    <row r="1694" spans="2:2" x14ac:dyDescent="0.2">
      <c r="B1694" s="48"/>
    </row>
    <row r="1695" spans="2:2" x14ac:dyDescent="0.2">
      <c r="B1695" s="48"/>
    </row>
    <row r="1696" spans="2:2" x14ac:dyDescent="0.2">
      <c r="B1696" s="48"/>
    </row>
    <row r="1697" spans="2:2" x14ac:dyDescent="0.2">
      <c r="B1697" s="48"/>
    </row>
    <row r="1698" spans="2:2" x14ac:dyDescent="0.2">
      <c r="B1698" s="48"/>
    </row>
    <row r="1699" spans="2:2" x14ac:dyDescent="0.2">
      <c r="B1699" s="48"/>
    </row>
    <row r="1700" spans="2:2" x14ac:dyDescent="0.2">
      <c r="B1700" s="48"/>
    </row>
    <row r="1701" spans="2:2" x14ac:dyDescent="0.2">
      <c r="B1701" s="48"/>
    </row>
    <row r="1702" spans="2:2" x14ac:dyDescent="0.2">
      <c r="B1702" s="48"/>
    </row>
    <row r="1703" spans="2:2" x14ac:dyDescent="0.2">
      <c r="B1703" s="48"/>
    </row>
    <row r="1704" spans="2:2" x14ac:dyDescent="0.2">
      <c r="B1704" s="48"/>
    </row>
    <row r="1705" spans="2:2" x14ac:dyDescent="0.2">
      <c r="B1705" s="48"/>
    </row>
    <row r="1706" spans="2:2" x14ac:dyDescent="0.2">
      <c r="B1706" s="48"/>
    </row>
    <row r="1707" spans="2:2" x14ac:dyDescent="0.2">
      <c r="B1707" s="48"/>
    </row>
    <row r="1708" spans="2:2" x14ac:dyDescent="0.2">
      <c r="B1708" s="48"/>
    </row>
    <row r="1709" spans="2:2" x14ac:dyDescent="0.2">
      <c r="B1709" s="48"/>
    </row>
    <row r="1710" spans="2:2" x14ac:dyDescent="0.2">
      <c r="B1710" s="48"/>
    </row>
    <row r="1711" spans="2:2" x14ac:dyDescent="0.2">
      <c r="B1711" s="48"/>
    </row>
    <row r="1712" spans="2:2" x14ac:dyDescent="0.2">
      <c r="B1712" s="48"/>
    </row>
    <row r="1713" spans="2:2" x14ac:dyDescent="0.2">
      <c r="B1713" s="48"/>
    </row>
    <row r="1714" spans="2:2" x14ac:dyDescent="0.2">
      <c r="B1714" s="48"/>
    </row>
    <row r="1715" spans="2:2" x14ac:dyDescent="0.2">
      <c r="B1715" s="48"/>
    </row>
    <row r="1716" spans="2:2" x14ac:dyDescent="0.2">
      <c r="B1716" s="48"/>
    </row>
    <row r="1717" spans="2:2" x14ac:dyDescent="0.2">
      <c r="B1717" s="48"/>
    </row>
    <row r="1718" spans="2:2" x14ac:dyDescent="0.2">
      <c r="B1718" s="48"/>
    </row>
    <row r="1719" spans="2:2" x14ac:dyDescent="0.2">
      <c r="B1719" s="48"/>
    </row>
    <row r="1720" spans="2:2" x14ac:dyDescent="0.2">
      <c r="B1720" s="48"/>
    </row>
    <row r="1721" spans="2:2" x14ac:dyDescent="0.2">
      <c r="B1721" s="48"/>
    </row>
    <row r="1722" spans="2:2" x14ac:dyDescent="0.2">
      <c r="B1722" s="48"/>
    </row>
    <row r="1723" spans="2:2" x14ac:dyDescent="0.2">
      <c r="B1723" s="48"/>
    </row>
    <row r="1724" spans="2:2" x14ac:dyDescent="0.2">
      <c r="B1724" s="48"/>
    </row>
    <row r="1725" spans="2:2" x14ac:dyDescent="0.2">
      <c r="B1725" s="48"/>
    </row>
    <row r="1726" spans="2:2" x14ac:dyDescent="0.2">
      <c r="B1726" s="48"/>
    </row>
    <row r="1727" spans="2:2" x14ac:dyDescent="0.2">
      <c r="B1727" s="48"/>
    </row>
    <row r="1728" spans="2:2" x14ac:dyDescent="0.2">
      <c r="B1728" s="48"/>
    </row>
    <row r="1729" spans="2:2" x14ac:dyDescent="0.2">
      <c r="B1729" s="48"/>
    </row>
    <row r="1730" spans="2:2" x14ac:dyDescent="0.2">
      <c r="B1730" s="48"/>
    </row>
    <row r="1731" spans="2:2" x14ac:dyDescent="0.2">
      <c r="B1731" s="48"/>
    </row>
    <row r="1732" spans="2:2" x14ac:dyDescent="0.2">
      <c r="B1732" s="48"/>
    </row>
    <row r="1733" spans="2:2" x14ac:dyDescent="0.2">
      <c r="B1733" s="48"/>
    </row>
    <row r="1734" spans="2:2" x14ac:dyDescent="0.2">
      <c r="B1734" s="48"/>
    </row>
    <row r="1735" spans="2:2" x14ac:dyDescent="0.2">
      <c r="B1735" s="48"/>
    </row>
    <row r="1736" spans="2:2" x14ac:dyDescent="0.2">
      <c r="B1736" s="48"/>
    </row>
    <row r="1737" spans="2:2" x14ac:dyDescent="0.2">
      <c r="B1737" s="48"/>
    </row>
    <row r="1738" spans="2:2" x14ac:dyDescent="0.2">
      <c r="B1738" s="48"/>
    </row>
    <row r="1739" spans="2:2" x14ac:dyDescent="0.2">
      <c r="B1739" s="48"/>
    </row>
    <row r="1740" spans="2:2" x14ac:dyDescent="0.2">
      <c r="B1740" s="48"/>
    </row>
    <row r="1741" spans="2:2" x14ac:dyDescent="0.2">
      <c r="B1741" s="48"/>
    </row>
    <row r="1742" spans="2:2" x14ac:dyDescent="0.2">
      <c r="B1742" s="48"/>
    </row>
    <row r="1743" spans="2:2" x14ac:dyDescent="0.2">
      <c r="B1743" s="48"/>
    </row>
    <row r="1744" spans="2:2" x14ac:dyDescent="0.2">
      <c r="B1744" s="48"/>
    </row>
    <row r="1745" spans="2:2" x14ac:dyDescent="0.2">
      <c r="B1745" s="48"/>
    </row>
    <row r="1746" spans="2:2" x14ac:dyDescent="0.2">
      <c r="B1746" s="48"/>
    </row>
    <row r="1747" spans="2:2" x14ac:dyDescent="0.2">
      <c r="B1747" s="48"/>
    </row>
    <row r="1748" spans="2:2" x14ac:dyDescent="0.2">
      <c r="B1748" s="48"/>
    </row>
    <row r="1749" spans="2:2" x14ac:dyDescent="0.2">
      <c r="B1749" s="48"/>
    </row>
    <row r="1750" spans="2:2" x14ac:dyDescent="0.2">
      <c r="B1750" s="48"/>
    </row>
    <row r="1751" spans="2:2" x14ac:dyDescent="0.2">
      <c r="B1751" s="48"/>
    </row>
    <row r="1752" spans="2:2" x14ac:dyDescent="0.2">
      <c r="B1752" s="48"/>
    </row>
    <row r="1753" spans="2:2" x14ac:dyDescent="0.2">
      <c r="B1753" s="48"/>
    </row>
    <row r="1754" spans="2:2" x14ac:dyDescent="0.2">
      <c r="B1754" s="48"/>
    </row>
    <row r="1755" spans="2:2" x14ac:dyDescent="0.2">
      <c r="B1755" s="48"/>
    </row>
    <row r="1756" spans="2:2" x14ac:dyDescent="0.2">
      <c r="B1756" s="48"/>
    </row>
    <row r="1757" spans="2:2" x14ac:dyDescent="0.2">
      <c r="B1757" s="48"/>
    </row>
    <row r="1758" spans="2:2" x14ac:dyDescent="0.2">
      <c r="B1758" s="48"/>
    </row>
    <row r="1759" spans="2:2" x14ac:dyDescent="0.2">
      <c r="B1759" s="48"/>
    </row>
    <row r="1760" spans="2:2" x14ac:dyDescent="0.2">
      <c r="B1760" s="48"/>
    </row>
    <row r="1761" spans="2:2" x14ac:dyDescent="0.2">
      <c r="B1761" s="48"/>
    </row>
    <row r="1762" spans="2:2" x14ac:dyDescent="0.2">
      <c r="B1762" s="48"/>
    </row>
    <row r="1763" spans="2:2" x14ac:dyDescent="0.2">
      <c r="B1763" s="48"/>
    </row>
    <row r="1764" spans="2:2" x14ac:dyDescent="0.2">
      <c r="B1764" s="48"/>
    </row>
    <row r="1765" spans="2:2" x14ac:dyDescent="0.2">
      <c r="B1765" s="48"/>
    </row>
    <row r="1766" spans="2:2" x14ac:dyDescent="0.2">
      <c r="B1766" s="48"/>
    </row>
    <row r="1767" spans="2:2" x14ac:dyDescent="0.2">
      <c r="B1767" s="48"/>
    </row>
    <row r="1768" spans="2:2" x14ac:dyDescent="0.2">
      <c r="B1768" s="48"/>
    </row>
    <row r="1769" spans="2:2" x14ac:dyDescent="0.2">
      <c r="B1769" s="48"/>
    </row>
    <row r="1770" spans="2:2" x14ac:dyDescent="0.2">
      <c r="B1770" s="48"/>
    </row>
    <row r="1771" spans="2:2" x14ac:dyDescent="0.2">
      <c r="B1771" s="48"/>
    </row>
    <row r="1772" spans="2:2" x14ac:dyDescent="0.2">
      <c r="B1772" s="48"/>
    </row>
    <row r="1773" spans="2:2" x14ac:dyDescent="0.2">
      <c r="B1773" s="48"/>
    </row>
    <row r="1774" spans="2:2" x14ac:dyDescent="0.2">
      <c r="B1774" s="48"/>
    </row>
    <row r="1775" spans="2:2" x14ac:dyDescent="0.2">
      <c r="B1775" s="48"/>
    </row>
    <row r="1776" spans="2:2" x14ac:dyDescent="0.2">
      <c r="B1776" s="48"/>
    </row>
    <row r="1777" spans="2:2" x14ac:dyDescent="0.2">
      <c r="B1777" s="48"/>
    </row>
    <row r="1778" spans="2:2" x14ac:dyDescent="0.2">
      <c r="B1778" s="48"/>
    </row>
    <row r="1779" spans="2:2" x14ac:dyDescent="0.2">
      <c r="B1779" s="48"/>
    </row>
    <row r="1780" spans="2:2" x14ac:dyDescent="0.2">
      <c r="B1780" s="48"/>
    </row>
    <row r="1781" spans="2:2" x14ac:dyDescent="0.2">
      <c r="B1781" s="48"/>
    </row>
    <row r="1782" spans="2:2" x14ac:dyDescent="0.2">
      <c r="B1782" s="48"/>
    </row>
    <row r="1783" spans="2:2" x14ac:dyDescent="0.2">
      <c r="B1783" s="48"/>
    </row>
    <row r="1784" spans="2:2" x14ac:dyDescent="0.2">
      <c r="B1784" s="48"/>
    </row>
    <row r="1785" spans="2:2" x14ac:dyDescent="0.2">
      <c r="B1785" s="48"/>
    </row>
    <row r="1786" spans="2:2" x14ac:dyDescent="0.2">
      <c r="B1786" s="48"/>
    </row>
    <row r="1787" spans="2:2" x14ac:dyDescent="0.2">
      <c r="B1787" s="48"/>
    </row>
    <row r="1788" spans="2:2" x14ac:dyDescent="0.2">
      <c r="B1788" s="48"/>
    </row>
    <row r="1789" spans="2:2" x14ac:dyDescent="0.2">
      <c r="B1789" s="48"/>
    </row>
    <row r="1790" spans="2:2" x14ac:dyDescent="0.2">
      <c r="B1790" s="48"/>
    </row>
    <row r="1791" spans="2:2" x14ac:dyDescent="0.2">
      <c r="B1791" s="48"/>
    </row>
    <row r="1792" spans="2:2" x14ac:dyDescent="0.2">
      <c r="B1792" s="48"/>
    </row>
    <row r="1793" spans="2:2" x14ac:dyDescent="0.2">
      <c r="B1793" s="48"/>
    </row>
    <row r="1794" spans="2:2" x14ac:dyDescent="0.2">
      <c r="B1794" s="48"/>
    </row>
    <row r="1795" spans="2:2" x14ac:dyDescent="0.2">
      <c r="B1795" s="48"/>
    </row>
    <row r="1796" spans="2:2" x14ac:dyDescent="0.2">
      <c r="B1796" s="48"/>
    </row>
    <row r="1797" spans="2:2" x14ac:dyDescent="0.2">
      <c r="B1797" s="48"/>
    </row>
    <row r="1798" spans="2:2" x14ac:dyDescent="0.2">
      <c r="B1798" s="48"/>
    </row>
    <row r="1799" spans="2:2" x14ac:dyDescent="0.2">
      <c r="B1799" s="48"/>
    </row>
    <row r="1800" spans="2:2" x14ac:dyDescent="0.2">
      <c r="B1800" s="48"/>
    </row>
    <row r="1801" spans="2:2" x14ac:dyDescent="0.2">
      <c r="B1801" s="48"/>
    </row>
    <row r="1802" spans="2:2" x14ac:dyDescent="0.2">
      <c r="B1802" s="48"/>
    </row>
    <row r="1803" spans="2:2" x14ac:dyDescent="0.2">
      <c r="B1803" s="48"/>
    </row>
    <row r="1804" spans="2:2" x14ac:dyDescent="0.2">
      <c r="B1804" s="48"/>
    </row>
    <row r="1805" spans="2:2" x14ac:dyDescent="0.2">
      <c r="B1805" s="48"/>
    </row>
    <row r="1806" spans="2:2" x14ac:dyDescent="0.2">
      <c r="B1806" s="48"/>
    </row>
    <row r="1807" spans="2:2" x14ac:dyDescent="0.2">
      <c r="B1807" s="48"/>
    </row>
    <row r="1808" spans="2:2" x14ac:dyDescent="0.2">
      <c r="B1808" s="48"/>
    </row>
    <row r="1809" spans="2:2" x14ac:dyDescent="0.2">
      <c r="B1809" s="48"/>
    </row>
    <row r="1810" spans="2:2" x14ac:dyDescent="0.2">
      <c r="B1810" s="48"/>
    </row>
    <row r="1811" spans="2:2" x14ac:dyDescent="0.2">
      <c r="B1811" s="48"/>
    </row>
    <row r="1812" spans="2:2" x14ac:dyDescent="0.2">
      <c r="B1812" s="48"/>
    </row>
    <row r="1813" spans="2:2" x14ac:dyDescent="0.2">
      <c r="B1813" s="48"/>
    </row>
    <row r="1814" spans="2:2" x14ac:dyDescent="0.2">
      <c r="B1814" s="48"/>
    </row>
    <row r="1815" spans="2:2" x14ac:dyDescent="0.2">
      <c r="B1815" s="48"/>
    </row>
    <row r="1816" spans="2:2" x14ac:dyDescent="0.2">
      <c r="B1816" s="48"/>
    </row>
    <row r="1817" spans="2:2" x14ac:dyDescent="0.2">
      <c r="B1817" s="48"/>
    </row>
    <row r="1818" spans="2:2" x14ac:dyDescent="0.2">
      <c r="B1818" s="48"/>
    </row>
    <row r="1819" spans="2:2" x14ac:dyDescent="0.2">
      <c r="B1819" s="48"/>
    </row>
    <row r="1820" spans="2:2" x14ac:dyDescent="0.2">
      <c r="B1820" s="48"/>
    </row>
    <row r="1821" spans="2:2" x14ac:dyDescent="0.2">
      <c r="B1821" s="48"/>
    </row>
    <row r="1822" spans="2:2" x14ac:dyDescent="0.2">
      <c r="B1822" s="48"/>
    </row>
    <row r="1823" spans="2:2" x14ac:dyDescent="0.2">
      <c r="B1823" s="48"/>
    </row>
    <row r="1824" spans="2:2" x14ac:dyDescent="0.2">
      <c r="B1824" s="48"/>
    </row>
    <row r="1825" spans="2:2" x14ac:dyDescent="0.2">
      <c r="B1825" s="48"/>
    </row>
    <row r="1826" spans="2:2" x14ac:dyDescent="0.2">
      <c r="B1826" s="48"/>
    </row>
    <row r="1827" spans="2:2" x14ac:dyDescent="0.2">
      <c r="B1827" s="48"/>
    </row>
    <row r="1828" spans="2:2" x14ac:dyDescent="0.2">
      <c r="B1828" s="48"/>
    </row>
    <row r="1829" spans="2:2" x14ac:dyDescent="0.2">
      <c r="B1829" s="48"/>
    </row>
    <row r="1830" spans="2:2" x14ac:dyDescent="0.2">
      <c r="B1830" s="48"/>
    </row>
    <row r="1831" spans="2:2" x14ac:dyDescent="0.2">
      <c r="B1831" s="48"/>
    </row>
    <row r="1832" spans="2:2" x14ac:dyDescent="0.2">
      <c r="B1832" s="48"/>
    </row>
    <row r="1833" spans="2:2" x14ac:dyDescent="0.2">
      <c r="B1833" s="48"/>
    </row>
    <row r="1834" spans="2:2" x14ac:dyDescent="0.2">
      <c r="B1834" s="48"/>
    </row>
    <row r="1835" spans="2:2" x14ac:dyDescent="0.2">
      <c r="B1835" s="48"/>
    </row>
    <row r="1836" spans="2:2" x14ac:dyDescent="0.2">
      <c r="B1836" s="48"/>
    </row>
    <row r="1837" spans="2:2" x14ac:dyDescent="0.2">
      <c r="B1837" s="48"/>
    </row>
    <row r="1838" spans="2:2" x14ac:dyDescent="0.2">
      <c r="B1838" s="48"/>
    </row>
    <row r="1839" spans="2:2" x14ac:dyDescent="0.2">
      <c r="B1839" s="48"/>
    </row>
    <row r="1840" spans="2:2" x14ac:dyDescent="0.2">
      <c r="B1840" s="48"/>
    </row>
    <row r="1841" spans="2:2" x14ac:dyDescent="0.2">
      <c r="B1841" s="48"/>
    </row>
    <row r="1842" spans="2:2" x14ac:dyDescent="0.2">
      <c r="B1842" s="48"/>
    </row>
    <row r="1843" spans="2:2" x14ac:dyDescent="0.2">
      <c r="B1843" s="48"/>
    </row>
    <row r="1844" spans="2:2" x14ac:dyDescent="0.2">
      <c r="B1844" s="48"/>
    </row>
    <row r="1845" spans="2:2" x14ac:dyDescent="0.2">
      <c r="B1845" s="48"/>
    </row>
    <row r="1846" spans="2:2" x14ac:dyDescent="0.2">
      <c r="B1846" s="48"/>
    </row>
    <row r="1847" spans="2:2" x14ac:dyDescent="0.2">
      <c r="B1847" s="48"/>
    </row>
    <row r="1848" spans="2:2" x14ac:dyDescent="0.2">
      <c r="B1848" s="48"/>
    </row>
    <row r="1849" spans="2:2" x14ac:dyDescent="0.2">
      <c r="B1849" s="48"/>
    </row>
    <row r="1850" spans="2:2" x14ac:dyDescent="0.2">
      <c r="B1850" s="48"/>
    </row>
    <row r="1851" spans="2:2" x14ac:dyDescent="0.2">
      <c r="B1851" s="48"/>
    </row>
    <row r="1852" spans="2:2" x14ac:dyDescent="0.2">
      <c r="B1852" s="48"/>
    </row>
    <row r="1853" spans="2:2" x14ac:dyDescent="0.2">
      <c r="B1853" s="48"/>
    </row>
    <row r="1854" spans="2:2" x14ac:dyDescent="0.2">
      <c r="B1854" s="48"/>
    </row>
    <row r="1855" spans="2:2" x14ac:dyDescent="0.2">
      <c r="B1855" s="48"/>
    </row>
    <row r="1856" spans="2:2" x14ac:dyDescent="0.2">
      <c r="B1856" s="48"/>
    </row>
    <row r="1857" spans="2:2" x14ac:dyDescent="0.2">
      <c r="B1857" s="48"/>
    </row>
    <row r="1858" spans="2:2" x14ac:dyDescent="0.2">
      <c r="B1858" s="48"/>
    </row>
    <row r="1859" spans="2:2" x14ac:dyDescent="0.2">
      <c r="B1859" s="48"/>
    </row>
    <row r="1860" spans="2:2" x14ac:dyDescent="0.2">
      <c r="B1860" s="48"/>
    </row>
    <row r="1861" spans="2:2" x14ac:dyDescent="0.2">
      <c r="B1861" s="48"/>
    </row>
    <row r="1862" spans="2:2" x14ac:dyDescent="0.2">
      <c r="B1862" s="48"/>
    </row>
    <row r="1863" spans="2:2" x14ac:dyDescent="0.2">
      <c r="B1863" s="48"/>
    </row>
    <row r="1864" spans="2:2" x14ac:dyDescent="0.2">
      <c r="B1864" s="48"/>
    </row>
    <row r="1865" spans="2:2" x14ac:dyDescent="0.2">
      <c r="B1865" s="48"/>
    </row>
    <row r="1866" spans="2:2" x14ac:dyDescent="0.2">
      <c r="B1866" s="48"/>
    </row>
    <row r="1867" spans="2:2" x14ac:dyDescent="0.2">
      <c r="B1867" s="48"/>
    </row>
    <row r="1868" spans="2:2" x14ac:dyDescent="0.2">
      <c r="B1868" s="48"/>
    </row>
    <row r="1869" spans="2:2" x14ac:dyDescent="0.2">
      <c r="B1869" s="48"/>
    </row>
    <row r="1870" spans="2:2" x14ac:dyDescent="0.2">
      <c r="B1870" s="48"/>
    </row>
    <row r="1871" spans="2:2" x14ac:dyDescent="0.2">
      <c r="B1871" s="48"/>
    </row>
    <row r="1872" spans="2:2" x14ac:dyDescent="0.2">
      <c r="B1872" s="48"/>
    </row>
    <row r="1873" spans="2:2" x14ac:dyDescent="0.2">
      <c r="B1873" s="48"/>
    </row>
    <row r="1874" spans="2:2" x14ac:dyDescent="0.2">
      <c r="B1874" s="48"/>
    </row>
    <row r="1875" spans="2:2" x14ac:dyDescent="0.2">
      <c r="B1875" s="48"/>
    </row>
    <row r="1876" spans="2:2" x14ac:dyDescent="0.2">
      <c r="B1876" s="48"/>
    </row>
    <row r="1877" spans="2:2" x14ac:dyDescent="0.2">
      <c r="B1877" s="48"/>
    </row>
    <row r="1878" spans="2:2" x14ac:dyDescent="0.2">
      <c r="B1878" s="48"/>
    </row>
    <row r="1879" spans="2:2" x14ac:dyDescent="0.2">
      <c r="B1879" s="48"/>
    </row>
    <row r="1880" spans="2:2" x14ac:dyDescent="0.2">
      <c r="B1880" s="48"/>
    </row>
    <row r="1881" spans="2:2" x14ac:dyDescent="0.2">
      <c r="B1881" s="48"/>
    </row>
    <row r="1882" spans="2:2" x14ac:dyDescent="0.2">
      <c r="B1882" s="48"/>
    </row>
    <row r="1883" spans="2:2" x14ac:dyDescent="0.2">
      <c r="B1883" s="48"/>
    </row>
    <row r="1884" spans="2:2" x14ac:dyDescent="0.2">
      <c r="B1884" s="48"/>
    </row>
    <row r="1885" spans="2:2" x14ac:dyDescent="0.2">
      <c r="B1885" s="48"/>
    </row>
    <row r="1886" spans="2:2" x14ac:dyDescent="0.2">
      <c r="B1886" s="48"/>
    </row>
    <row r="1887" spans="2:2" x14ac:dyDescent="0.2">
      <c r="B1887" s="48"/>
    </row>
    <row r="1888" spans="2:2" x14ac:dyDescent="0.2">
      <c r="B1888" s="48"/>
    </row>
    <row r="1889" spans="2:2" x14ac:dyDescent="0.2">
      <c r="B1889" s="48"/>
    </row>
    <row r="1890" spans="2:2" x14ac:dyDescent="0.2">
      <c r="B1890" s="48"/>
    </row>
    <row r="1891" spans="2:2" x14ac:dyDescent="0.2">
      <c r="B1891" s="48"/>
    </row>
    <row r="1892" spans="2:2" x14ac:dyDescent="0.2">
      <c r="B1892" s="48"/>
    </row>
    <row r="1893" spans="2:2" x14ac:dyDescent="0.2">
      <c r="B1893" s="48"/>
    </row>
    <row r="1894" spans="2:2" x14ac:dyDescent="0.2">
      <c r="B1894" s="48"/>
    </row>
    <row r="1895" spans="2:2" x14ac:dyDescent="0.2">
      <c r="B1895" s="48"/>
    </row>
    <row r="1896" spans="2:2" x14ac:dyDescent="0.2">
      <c r="B1896" s="48"/>
    </row>
    <row r="1897" spans="2:2" x14ac:dyDescent="0.2">
      <c r="B1897" s="48"/>
    </row>
    <row r="1898" spans="2:2" x14ac:dyDescent="0.2">
      <c r="B1898" s="48"/>
    </row>
    <row r="1899" spans="2:2" x14ac:dyDescent="0.2">
      <c r="B1899" s="48"/>
    </row>
    <row r="1900" spans="2:2" x14ac:dyDescent="0.2">
      <c r="B1900" s="48"/>
    </row>
    <row r="1901" spans="2:2" x14ac:dyDescent="0.2">
      <c r="B1901" s="48"/>
    </row>
    <row r="1902" spans="2:2" x14ac:dyDescent="0.2">
      <c r="B1902" s="48"/>
    </row>
    <row r="1903" spans="2:2" x14ac:dyDescent="0.2">
      <c r="B1903" s="48"/>
    </row>
    <row r="1904" spans="2:2" x14ac:dyDescent="0.2">
      <c r="B1904" s="48"/>
    </row>
    <row r="1905" spans="2:2" x14ac:dyDescent="0.2">
      <c r="B1905" s="48"/>
    </row>
    <row r="1906" spans="2:2" x14ac:dyDescent="0.2">
      <c r="B1906" s="48"/>
    </row>
    <row r="1907" spans="2:2" x14ac:dyDescent="0.2">
      <c r="B1907" s="48"/>
    </row>
    <row r="1908" spans="2:2" x14ac:dyDescent="0.2">
      <c r="B1908" s="48"/>
    </row>
    <row r="1909" spans="2:2" x14ac:dyDescent="0.2">
      <c r="B1909" s="48"/>
    </row>
    <row r="1910" spans="2:2" x14ac:dyDescent="0.2">
      <c r="B1910" s="48"/>
    </row>
    <row r="1911" spans="2:2" x14ac:dyDescent="0.2">
      <c r="B1911" s="48"/>
    </row>
    <row r="1912" spans="2:2" x14ac:dyDescent="0.2">
      <c r="B1912" s="48"/>
    </row>
    <row r="1913" spans="2:2" x14ac:dyDescent="0.2">
      <c r="B1913" s="48"/>
    </row>
    <row r="1914" spans="2:2" x14ac:dyDescent="0.2">
      <c r="B1914" s="48"/>
    </row>
    <row r="1915" spans="2:2" x14ac:dyDescent="0.2">
      <c r="B1915" s="48"/>
    </row>
    <row r="1916" spans="2:2" x14ac:dyDescent="0.2">
      <c r="B1916" s="48"/>
    </row>
    <row r="1917" spans="2:2" x14ac:dyDescent="0.2">
      <c r="B1917" s="48"/>
    </row>
    <row r="1918" spans="2:2" x14ac:dyDescent="0.2">
      <c r="B1918" s="48"/>
    </row>
    <row r="1919" spans="2:2" x14ac:dyDescent="0.2">
      <c r="B1919" s="48"/>
    </row>
    <row r="1920" spans="2:2" x14ac:dyDescent="0.2">
      <c r="B1920" s="48"/>
    </row>
    <row r="1921" spans="2:2" x14ac:dyDescent="0.2">
      <c r="B1921" s="48"/>
    </row>
    <row r="1922" spans="2:2" x14ac:dyDescent="0.2">
      <c r="B1922" s="48"/>
    </row>
    <row r="1923" spans="2:2" x14ac:dyDescent="0.2">
      <c r="B1923" s="48"/>
    </row>
    <row r="1924" spans="2:2" x14ac:dyDescent="0.2">
      <c r="B1924" s="48"/>
    </row>
    <row r="1925" spans="2:2" x14ac:dyDescent="0.2">
      <c r="B1925" s="48"/>
    </row>
    <row r="1926" spans="2:2" x14ac:dyDescent="0.2">
      <c r="B1926" s="48"/>
    </row>
    <row r="1927" spans="2:2" x14ac:dyDescent="0.2">
      <c r="B1927" s="48"/>
    </row>
    <row r="1928" spans="2:2" x14ac:dyDescent="0.2">
      <c r="B1928" s="48"/>
    </row>
    <row r="1929" spans="2:2" x14ac:dyDescent="0.2">
      <c r="B1929" s="48"/>
    </row>
    <row r="1930" spans="2:2" x14ac:dyDescent="0.2">
      <c r="B1930" s="48"/>
    </row>
    <row r="1931" spans="2:2" x14ac:dyDescent="0.2">
      <c r="B1931" s="48"/>
    </row>
    <row r="1932" spans="2:2" x14ac:dyDescent="0.2">
      <c r="B1932" s="48"/>
    </row>
    <row r="1933" spans="2:2" x14ac:dyDescent="0.2">
      <c r="B1933" s="48"/>
    </row>
    <row r="1934" spans="2:2" x14ac:dyDescent="0.2">
      <c r="B1934" s="48"/>
    </row>
    <row r="1935" spans="2:2" x14ac:dyDescent="0.2">
      <c r="B1935" s="48"/>
    </row>
    <row r="1936" spans="2:2" x14ac:dyDescent="0.2">
      <c r="B1936" s="48"/>
    </row>
    <row r="1937" spans="2:2" x14ac:dyDescent="0.2">
      <c r="B1937" s="48"/>
    </row>
    <row r="1938" spans="2:2" x14ac:dyDescent="0.2">
      <c r="B1938" s="48"/>
    </row>
    <row r="1939" spans="2:2" x14ac:dyDescent="0.2">
      <c r="B1939" s="48"/>
    </row>
    <row r="1940" spans="2:2" x14ac:dyDescent="0.2">
      <c r="B1940" s="48"/>
    </row>
    <row r="1941" spans="2:2" x14ac:dyDescent="0.2">
      <c r="B1941" s="48"/>
    </row>
    <row r="1942" spans="2:2" x14ac:dyDescent="0.2">
      <c r="B1942" s="48"/>
    </row>
    <row r="1943" spans="2:2" x14ac:dyDescent="0.2">
      <c r="B1943" s="48"/>
    </row>
    <row r="1944" spans="2:2" x14ac:dyDescent="0.2">
      <c r="B1944" s="48"/>
    </row>
    <row r="1945" spans="2:2" x14ac:dyDescent="0.2">
      <c r="B1945" s="48"/>
    </row>
    <row r="1946" spans="2:2" x14ac:dyDescent="0.2">
      <c r="B1946" s="48"/>
    </row>
    <row r="1947" spans="2:2" x14ac:dyDescent="0.2">
      <c r="B1947" s="48"/>
    </row>
    <row r="1948" spans="2:2" x14ac:dyDescent="0.2">
      <c r="B1948" s="48"/>
    </row>
    <row r="1949" spans="2:2" x14ac:dyDescent="0.2">
      <c r="B1949" s="48"/>
    </row>
    <row r="1950" spans="2:2" x14ac:dyDescent="0.2">
      <c r="B1950" s="48"/>
    </row>
    <row r="1951" spans="2:2" x14ac:dyDescent="0.2">
      <c r="B1951" s="48"/>
    </row>
    <row r="1952" spans="2:2" x14ac:dyDescent="0.2">
      <c r="B1952" s="48"/>
    </row>
    <row r="1953" spans="2:2" x14ac:dyDescent="0.2">
      <c r="B1953" s="48"/>
    </row>
    <row r="1954" spans="2:2" x14ac:dyDescent="0.2">
      <c r="B1954" s="48"/>
    </row>
    <row r="1955" spans="2:2" x14ac:dyDescent="0.2">
      <c r="B1955" s="48"/>
    </row>
    <row r="1956" spans="2:2" x14ac:dyDescent="0.2">
      <c r="B1956" s="48"/>
    </row>
    <row r="1957" spans="2:2" x14ac:dyDescent="0.2">
      <c r="B1957" s="48"/>
    </row>
    <row r="1958" spans="2:2" x14ac:dyDescent="0.2">
      <c r="B1958" s="48"/>
    </row>
    <row r="1959" spans="2:2" x14ac:dyDescent="0.2">
      <c r="B1959" s="48"/>
    </row>
    <row r="1960" spans="2:2" x14ac:dyDescent="0.2">
      <c r="B1960" s="48"/>
    </row>
    <row r="1961" spans="2:2" x14ac:dyDescent="0.2">
      <c r="B1961" s="48"/>
    </row>
    <row r="1962" spans="2:2" x14ac:dyDescent="0.2">
      <c r="B1962" s="48"/>
    </row>
    <row r="1963" spans="2:2" x14ac:dyDescent="0.2">
      <c r="B1963" s="48"/>
    </row>
    <row r="1964" spans="2:2" x14ac:dyDescent="0.2">
      <c r="B1964" s="48"/>
    </row>
    <row r="1965" spans="2:2" x14ac:dyDescent="0.2">
      <c r="B1965" s="48"/>
    </row>
    <row r="1966" spans="2:2" x14ac:dyDescent="0.2">
      <c r="B1966" s="48"/>
    </row>
    <row r="1967" spans="2:2" x14ac:dyDescent="0.2">
      <c r="B1967" s="48"/>
    </row>
    <row r="1968" spans="2:2" x14ac:dyDescent="0.2">
      <c r="B1968" s="48"/>
    </row>
    <row r="1969" spans="2:2" x14ac:dyDescent="0.2">
      <c r="B1969" s="48"/>
    </row>
    <row r="1970" spans="2:2" x14ac:dyDescent="0.2">
      <c r="B1970" s="48"/>
    </row>
    <row r="1971" spans="2:2" x14ac:dyDescent="0.2">
      <c r="B1971" s="48"/>
    </row>
    <row r="1972" spans="2:2" x14ac:dyDescent="0.2">
      <c r="B1972" s="48"/>
    </row>
    <row r="1973" spans="2:2" x14ac:dyDescent="0.2">
      <c r="B1973" s="48"/>
    </row>
    <row r="1974" spans="2:2" x14ac:dyDescent="0.2">
      <c r="B1974" s="48"/>
    </row>
    <row r="1975" spans="2:2" x14ac:dyDescent="0.2">
      <c r="B1975" s="48"/>
    </row>
    <row r="1976" spans="2:2" x14ac:dyDescent="0.2">
      <c r="B1976" s="48"/>
    </row>
    <row r="1977" spans="2:2" x14ac:dyDescent="0.2">
      <c r="B1977" s="48"/>
    </row>
    <row r="1978" spans="2:2" x14ac:dyDescent="0.2">
      <c r="B1978" s="48"/>
    </row>
    <row r="1979" spans="2:2" x14ac:dyDescent="0.2">
      <c r="B1979" s="48"/>
    </row>
    <row r="1980" spans="2:2" x14ac:dyDescent="0.2">
      <c r="B1980" s="48"/>
    </row>
    <row r="1981" spans="2:2" x14ac:dyDescent="0.2">
      <c r="B1981" s="48"/>
    </row>
    <row r="1982" spans="2:2" x14ac:dyDescent="0.2">
      <c r="B1982" s="48"/>
    </row>
    <row r="1983" spans="2:2" x14ac:dyDescent="0.2">
      <c r="B1983" s="48"/>
    </row>
    <row r="1984" spans="2:2" x14ac:dyDescent="0.2">
      <c r="B1984" s="48"/>
    </row>
    <row r="1985" spans="2:2" x14ac:dyDescent="0.2">
      <c r="B1985" s="48"/>
    </row>
    <row r="1986" spans="2:2" x14ac:dyDescent="0.2">
      <c r="B1986" s="48"/>
    </row>
    <row r="1987" spans="2:2" x14ac:dyDescent="0.2">
      <c r="B1987" s="48"/>
    </row>
    <row r="1988" spans="2:2" x14ac:dyDescent="0.2">
      <c r="B1988" s="48"/>
    </row>
    <row r="1989" spans="2:2" x14ac:dyDescent="0.2">
      <c r="B1989" s="48"/>
    </row>
    <row r="1990" spans="2:2" x14ac:dyDescent="0.2">
      <c r="B1990" s="48"/>
    </row>
    <row r="1991" spans="2:2" x14ac:dyDescent="0.2">
      <c r="B1991" s="48"/>
    </row>
    <row r="1992" spans="2:2" x14ac:dyDescent="0.2">
      <c r="B1992" s="48"/>
    </row>
    <row r="1993" spans="2:2" x14ac:dyDescent="0.2">
      <c r="B1993" s="48"/>
    </row>
    <row r="1994" spans="2:2" x14ac:dyDescent="0.2">
      <c r="B1994" s="48"/>
    </row>
    <row r="1995" spans="2:2" x14ac:dyDescent="0.2">
      <c r="B1995" s="48"/>
    </row>
    <row r="1996" spans="2:2" x14ac:dyDescent="0.2">
      <c r="B1996" s="48"/>
    </row>
    <row r="1997" spans="2:2" x14ac:dyDescent="0.2">
      <c r="B1997" s="48"/>
    </row>
    <row r="1998" spans="2:2" x14ac:dyDescent="0.2">
      <c r="B1998" s="48"/>
    </row>
    <row r="1999" spans="2:2" x14ac:dyDescent="0.2">
      <c r="B1999" s="48"/>
    </row>
    <row r="2000" spans="2:2" x14ac:dyDescent="0.2">
      <c r="B2000" s="48"/>
    </row>
    <row r="2001" spans="2:2" x14ac:dyDescent="0.2">
      <c r="B2001" s="48"/>
    </row>
    <row r="2002" spans="2:2" x14ac:dyDescent="0.2">
      <c r="B2002" s="48"/>
    </row>
    <row r="2003" spans="2:2" x14ac:dyDescent="0.2">
      <c r="B2003" s="48"/>
    </row>
    <row r="2004" spans="2:2" x14ac:dyDescent="0.2">
      <c r="B2004" s="48"/>
    </row>
    <row r="2005" spans="2:2" x14ac:dyDescent="0.2">
      <c r="B2005" s="48"/>
    </row>
    <row r="2006" spans="2:2" x14ac:dyDescent="0.2">
      <c r="B2006" s="48"/>
    </row>
    <row r="2007" spans="2:2" x14ac:dyDescent="0.2">
      <c r="B2007" s="48"/>
    </row>
    <row r="2008" spans="2:2" x14ac:dyDescent="0.2">
      <c r="B2008" s="48"/>
    </row>
    <row r="2009" spans="2:2" x14ac:dyDescent="0.2">
      <c r="B2009" s="48"/>
    </row>
    <row r="2010" spans="2:2" x14ac:dyDescent="0.2">
      <c r="B2010" s="48"/>
    </row>
    <row r="2011" spans="2:2" x14ac:dyDescent="0.2">
      <c r="B2011" s="48"/>
    </row>
    <row r="2012" spans="2:2" x14ac:dyDescent="0.2">
      <c r="B2012" s="48"/>
    </row>
    <row r="2013" spans="2:2" x14ac:dyDescent="0.2">
      <c r="B2013" s="48"/>
    </row>
    <row r="2014" spans="2:2" x14ac:dyDescent="0.2">
      <c r="B2014" s="48"/>
    </row>
    <row r="2015" spans="2:2" x14ac:dyDescent="0.2">
      <c r="B2015" s="48"/>
    </row>
    <row r="2016" spans="2:2" x14ac:dyDescent="0.2">
      <c r="B2016" s="48"/>
    </row>
    <row r="2017" spans="2:2" x14ac:dyDescent="0.2">
      <c r="B2017" s="48"/>
    </row>
    <row r="2018" spans="2:2" x14ac:dyDescent="0.2">
      <c r="B2018" s="48"/>
    </row>
    <row r="2019" spans="2:2" x14ac:dyDescent="0.2">
      <c r="B2019" s="48"/>
    </row>
    <row r="2020" spans="2:2" x14ac:dyDescent="0.2">
      <c r="B2020" s="48"/>
    </row>
    <row r="2021" spans="2:2" x14ac:dyDescent="0.2">
      <c r="B2021" s="48"/>
    </row>
    <row r="2022" spans="2:2" x14ac:dyDescent="0.2">
      <c r="B2022" s="48"/>
    </row>
    <row r="2023" spans="2:2" x14ac:dyDescent="0.2">
      <c r="B2023" s="48"/>
    </row>
    <row r="2024" spans="2:2" x14ac:dyDescent="0.2">
      <c r="B2024" s="48"/>
    </row>
    <row r="2025" spans="2:2" x14ac:dyDescent="0.2">
      <c r="B2025" s="48"/>
    </row>
    <row r="2026" spans="2:2" x14ac:dyDescent="0.2">
      <c r="B2026" s="48"/>
    </row>
    <row r="2027" spans="2:2" x14ac:dyDescent="0.2">
      <c r="B2027" s="48"/>
    </row>
    <row r="2028" spans="2:2" x14ac:dyDescent="0.2">
      <c r="B2028" s="48"/>
    </row>
    <row r="2029" spans="2:2" x14ac:dyDescent="0.2">
      <c r="B2029" s="48"/>
    </row>
    <row r="2030" spans="2:2" x14ac:dyDescent="0.2">
      <c r="B2030" s="48"/>
    </row>
    <row r="2031" spans="2:2" x14ac:dyDescent="0.2">
      <c r="B2031" s="48"/>
    </row>
    <row r="2032" spans="2:2" x14ac:dyDescent="0.2">
      <c r="B2032" s="48"/>
    </row>
    <row r="2033" spans="2:2" x14ac:dyDescent="0.2">
      <c r="B2033" s="48"/>
    </row>
    <row r="2034" spans="2:2" x14ac:dyDescent="0.2">
      <c r="B2034" s="48"/>
    </row>
    <row r="2035" spans="2:2" x14ac:dyDescent="0.2">
      <c r="B2035" s="48"/>
    </row>
    <row r="2036" spans="2:2" x14ac:dyDescent="0.2">
      <c r="B2036" s="48"/>
    </row>
    <row r="2037" spans="2:2" x14ac:dyDescent="0.2">
      <c r="B2037" s="48"/>
    </row>
    <row r="2038" spans="2:2" x14ac:dyDescent="0.2">
      <c r="B2038" s="48"/>
    </row>
    <row r="2039" spans="2:2" x14ac:dyDescent="0.2">
      <c r="B2039" s="48"/>
    </row>
    <row r="2040" spans="2:2" x14ac:dyDescent="0.2">
      <c r="B2040" s="48"/>
    </row>
    <row r="2041" spans="2:2" x14ac:dyDescent="0.2">
      <c r="B2041" s="48"/>
    </row>
    <row r="2042" spans="2:2" x14ac:dyDescent="0.2">
      <c r="B2042" s="48"/>
    </row>
    <row r="2043" spans="2:2" x14ac:dyDescent="0.2">
      <c r="B2043" s="48"/>
    </row>
    <row r="2044" spans="2:2" x14ac:dyDescent="0.2">
      <c r="B2044" s="48"/>
    </row>
    <row r="2045" spans="2:2" x14ac:dyDescent="0.2">
      <c r="B2045" s="48"/>
    </row>
    <row r="2046" spans="2:2" x14ac:dyDescent="0.2">
      <c r="B2046" s="48"/>
    </row>
    <row r="2047" spans="2:2" x14ac:dyDescent="0.2">
      <c r="B2047" s="48"/>
    </row>
    <row r="2048" spans="2:2" x14ac:dyDescent="0.2">
      <c r="B2048" s="48"/>
    </row>
    <row r="2049" spans="2:2" x14ac:dyDescent="0.2">
      <c r="B2049" s="48"/>
    </row>
    <row r="2050" spans="2:2" x14ac:dyDescent="0.2">
      <c r="B2050" s="48"/>
    </row>
    <row r="2051" spans="2:2" x14ac:dyDescent="0.2">
      <c r="B2051" s="48"/>
    </row>
    <row r="2052" spans="2:2" x14ac:dyDescent="0.2">
      <c r="B2052" s="48"/>
    </row>
    <row r="2053" spans="2:2" x14ac:dyDescent="0.2">
      <c r="B2053" s="48"/>
    </row>
    <row r="2054" spans="2:2" x14ac:dyDescent="0.2">
      <c r="B2054" s="48"/>
    </row>
    <row r="2055" spans="2:2" x14ac:dyDescent="0.2">
      <c r="B2055" s="48"/>
    </row>
    <row r="2056" spans="2:2" x14ac:dyDescent="0.2">
      <c r="B2056" s="48"/>
    </row>
    <row r="2057" spans="2:2" x14ac:dyDescent="0.2">
      <c r="B2057" s="48"/>
    </row>
    <row r="2058" spans="2:2" x14ac:dyDescent="0.2">
      <c r="B2058" s="48"/>
    </row>
    <row r="2059" spans="2:2" x14ac:dyDescent="0.2">
      <c r="B2059" s="48"/>
    </row>
    <row r="2060" spans="2:2" x14ac:dyDescent="0.2">
      <c r="B2060" s="48"/>
    </row>
    <row r="2061" spans="2:2" x14ac:dyDescent="0.2">
      <c r="B2061" s="48"/>
    </row>
    <row r="2062" spans="2:2" x14ac:dyDescent="0.2">
      <c r="B2062" s="48"/>
    </row>
    <row r="2063" spans="2:2" x14ac:dyDescent="0.2">
      <c r="B2063" s="48"/>
    </row>
    <row r="2064" spans="2:2" x14ac:dyDescent="0.2">
      <c r="B2064" s="48"/>
    </row>
    <row r="2065" spans="2:2" x14ac:dyDescent="0.2">
      <c r="B2065" s="48"/>
    </row>
    <row r="2066" spans="2:2" x14ac:dyDescent="0.2">
      <c r="B2066" s="48"/>
    </row>
    <row r="2067" spans="2:2" x14ac:dyDescent="0.2">
      <c r="B2067" s="48"/>
    </row>
    <row r="2068" spans="2:2" x14ac:dyDescent="0.2">
      <c r="B2068" s="48"/>
    </row>
    <row r="2069" spans="2:2" x14ac:dyDescent="0.2">
      <c r="B2069" s="48"/>
    </row>
    <row r="2070" spans="2:2" x14ac:dyDescent="0.2">
      <c r="B2070" s="48"/>
    </row>
    <row r="2071" spans="2:2" x14ac:dyDescent="0.2">
      <c r="B2071" s="48"/>
    </row>
    <row r="2072" spans="2:2" x14ac:dyDescent="0.2">
      <c r="B2072" s="48"/>
    </row>
    <row r="2073" spans="2:2" x14ac:dyDescent="0.2">
      <c r="B2073" s="48"/>
    </row>
    <row r="2074" spans="2:2" x14ac:dyDescent="0.2">
      <c r="B2074" s="48"/>
    </row>
    <row r="2075" spans="2:2" x14ac:dyDescent="0.2">
      <c r="B2075" s="48"/>
    </row>
    <row r="2076" spans="2:2" x14ac:dyDescent="0.2">
      <c r="B2076" s="48"/>
    </row>
    <row r="2077" spans="2:2" x14ac:dyDescent="0.2">
      <c r="B2077" s="48"/>
    </row>
    <row r="2078" spans="2:2" x14ac:dyDescent="0.2">
      <c r="B2078" s="48"/>
    </row>
    <row r="2079" spans="2:2" x14ac:dyDescent="0.2">
      <c r="B2079" s="48"/>
    </row>
    <row r="2080" spans="2:2" x14ac:dyDescent="0.2">
      <c r="B2080" s="48"/>
    </row>
    <row r="2081" spans="2:2" x14ac:dyDescent="0.2">
      <c r="B2081" s="48"/>
    </row>
    <row r="2082" spans="2:2" x14ac:dyDescent="0.2">
      <c r="B2082" s="48"/>
    </row>
    <row r="2083" spans="2:2" x14ac:dyDescent="0.2">
      <c r="B2083" s="48"/>
    </row>
    <row r="2084" spans="2:2" x14ac:dyDescent="0.2">
      <c r="B2084" s="48"/>
    </row>
    <row r="2085" spans="2:2" x14ac:dyDescent="0.2">
      <c r="B2085" s="48"/>
    </row>
    <row r="2086" spans="2:2" x14ac:dyDescent="0.2">
      <c r="B2086" s="48"/>
    </row>
    <row r="2087" spans="2:2" x14ac:dyDescent="0.2">
      <c r="B2087" s="48"/>
    </row>
    <row r="2088" spans="2:2" x14ac:dyDescent="0.2">
      <c r="B2088" s="48"/>
    </row>
    <row r="2089" spans="2:2" x14ac:dyDescent="0.2">
      <c r="B2089" s="48"/>
    </row>
    <row r="2090" spans="2:2" x14ac:dyDescent="0.2">
      <c r="B2090" s="48"/>
    </row>
    <row r="2091" spans="2:2" x14ac:dyDescent="0.2">
      <c r="B2091" s="48"/>
    </row>
    <row r="2092" spans="2:2" x14ac:dyDescent="0.2">
      <c r="B2092" s="48"/>
    </row>
    <row r="2093" spans="2:2" x14ac:dyDescent="0.2">
      <c r="B2093" s="48"/>
    </row>
    <row r="2094" spans="2:2" x14ac:dyDescent="0.2">
      <c r="B2094" s="48"/>
    </row>
    <row r="2095" spans="2:2" x14ac:dyDescent="0.2">
      <c r="B2095" s="48"/>
    </row>
    <row r="2096" spans="2:2" x14ac:dyDescent="0.2">
      <c r="B2096" s="48"/>
    </row>
    <row r="2097" spans="2:2" x14ac:dyDescent="0.2">
      <c r="B2097" s="48"/>
    </row>
    <row r="2098" spans="2:2" x14ac:dyDescent="0.2">
      <c r="B2098" s="48"/>
    </row>
    <row r="2099" spans="2:2" x14ac:dyDescent="0.2">
      <c r="B2099" s="48"/>
    </row>
    <row r="2100" spans="2:2" x14ac:dyDescent="0.2">
      <c r="B2100" s="48"/>
    </row>
    <row r="2101" spans="2:2" x14ac:dyDescent="0.2">
      <c r="B2101" s="48"/>
    </row>
    <row r="2102" spans="2:2" x14ac:dyDescent="0.2">
      <c r="B2102" s="48"/>
    </row>
    <row r="2103" spans="2:2" x14ac:dyDescent="0.2">
      <c r="B2103" s="48"/>
    </row>
    <row r="2104" spans="2:2" x14ac:dyDescent="0.2">
      <c r="B2104" s="48"/>
    </row>
    <row r="2105" spans="2:2" x14ac:dyDescent="0.2">
      <c r="B2105" s="48"/>
    </row>
    <row r="2106" spans="2:2" x14ac:dyDescent="0.2">
      <c r="B2106" s="48"/>
    </row>
    <row r="2107" spans="2:2" x14ac:dyDescent="0.2">
      <c r="B2107" s="48"/>
    </row>
    <row r="2108" spans="2:2" x14ac:dyDescent="0.2">
      <c r="B2108" s="48"/>
    </row>
    <row r="2109" spans="2:2" x14ac:dyDescent="0.2">
      <c r="B2109" s="48"/>
    </row>
    <row r="2110" spans="2:2" x14ac:dyDescent="0.2">
      <c r="B2110" s="48"/>
    </row>
    <row r="2111" spans="2:2" x14ac:dyDescent="0.2">
      <c r="B2111" s="48"/>
    </row>
    <row r="2112" spans="2:2" x14ac:dyDescent="0.2">
      <c r="B2112" s="48"/>
    </row>
    <row r="2113" spans="2:2" x14ac:dyDescent="0.2">
      <c r="B2113" s="48"/>
    </row>
    <row r="2114" spans="2:2" x14ac:dyDescent="0.2">
      <c r="B2114" s="48"/>
    </row>
    <row r="2115" spans="2:2" x14ac:dyDescent="0.2">
      <c r="B2115" s="48"/>
    </row>
    <row r="2116" spans="2:2" x14ac:dyDescent="0.2">
      <c r="B2116" s="48"/>
    </row>
    <row r="2117" spans="2:2" x14ac:dyDescent="0.2">
      <c r="B2117" s="48"/>
    </row>
    <row r="2118" spans="2:2" x14ac:dyDescent="0.2">
      <c r="B2118" s="48"/>
    </row>
    <row r="2119" spans="2:2" x14ac:dyDescent="0.2">
      <c r="B2119" s="48"/>
    </row>
    <row r="2120" spans="2:2" x14ac:dyDescent="0.2">
      <c r="B2120" s="48"/>
    </row>
    <row r="2121" spans="2:2" x14ac:dyDescent="0.2">
      <c r="B2121" s="48"/>
    </row>
    <row r="2122" spans="2:2" x14ac:dyDescent="0.2">
      <c r="B2122" s="48"/>
    </row>
    <row r="2123" spans="2:2" x14ac:dyDescent="0.2">
      <c r="B2123" s="48"/>
    </row>
    <row r="2124" spans="2:2" x14ac:dyDescent="0.2">
      <c r="B2124" s="48"/>
    </row>
    <row r="2125" spans="2:2" x14ac:dyDescent="0.2">
      <c r="B2125" s="48"/>
    </row>
    <row r="2126" spans="2:2" x14ac:dyDescent="0.2">
      <c r="B2126" s="48"/>
    </row>
    <row r="2127" spans="2:2" x14ac:dyDescent="0.2">
      <c r="B2127" s="48"/>
    </row>
    <row r="2128" spans="2:2" x14ac:dyDescent="0.2">
      <c r="B2128" s="48"/>
    </row>
    <row r="2129" spans="2:2" x14ac:dyDescent="0.2">
      <c r="B2129" s="48"/>
    </row>
    <row r="2130" spans="2:2" x14ac:dyDescent="0.2">
      <c r="B2130" s="48"/>
    </row>
    <row r="2131" spans="2:2" x14ac:dyDescent="0.2">
      <c r="B2131" s="48"/>
    </row>
    <row r="2132" spans="2:2" x14ac:dyDescent="0.2">
      <c r="B2132" s="48"/>
    </row>
    <row r="2133" spans="2:2" x14ac:dyDescent="0.2">
      <c r="B2133" s="48"/>
    </row>
    <row r="2134" spans="2:2" x14ac:dyDescent="0.2">
      <c r="B2134" s="48"/>
    </row>
    <row r="2135" spans="2:2" x14ac:dyDescent="0.2">
      <c r="B2135" s="48"/>
    </row>
    <row r="2136" spans="2:2" x14ac:dyDescent="0.2">
      <c r="B2136" s="48"/>
    </row>
    <row r="2137" spans="2:2" x14ac:dyDescent="0.2">
      <c r="B2137" s="48"/>
    </row>
    <row r="2138" spans="2:2" x14ac:dyDescent="0.2">
      <c r="B2138" s="48"/>
    </row>
    <row r="2139" spans="2:2" x14ac:dyDescent="0.2">
      <c r="B2139" s="48"/>
    </row>
    <row r="2140" spans="2:2" x14ac:dyDescent="0.2">
      <c r="B2140" s="48"/>
    </row>
    <row r="2141" spans="2:2" x14ac:dyDescent="0.2">
      <c r="B2141" s="48"/>
    </row>
    <row r="2142" spans="2:2" x14ac:dyDescent="0.2">
      <c r="B2142" s="48"/>
    </row>
    <row r="2143" spans="2:2" x14ac:dyDescent="0.2">
      <c r="B2143" s="48"/>
    </row>
    <row r="2144" spans="2:2" x14ac:dyDescent="0.2">
      <c r="B2144" s="48"/>
    </row>
    <row r="2145" spans="2:2" x14ac:dyDescent="0.2">
      <c r="B2145" s="48"/>
    </row>
    <row r="2146" spans="2:2" x14ac:dyDescent="0.2">
      <c r="B2146" s="48"/>
    </row>
    <row r="2147" spans="2:2" x14ac:dyDescent="0.2">
      <c r="B2147" s="48"/>
    </row>
    <row r="2148" spans="2:2" x14ac:dyDescent="0.2">
      <c r="B2148" s="48"/>
    </row>
    <row r="2149" spans="2:2" x14ac:dyDescent="0.2">
      <c r="B2149" s="48"/>
    </row>
    <row r="2150" spans="2:2" x14ac:dyDescent="0.2">
      <c r="B2150" s="48"/>
    </row>
    <row r="2151" spans="2:2" x14ac:dyDescent="0.2">
      <c r="B2151" s="48"/>
    </row>
    <row r="2152" spans="2:2" x14ac:dyDescent="0.2">
      <c r="B2152" s="48"/>
    </row>
    <row r="2153" spans="2:2" x14ac:dyDescent="0.2">
      <c r="B2153" s="48"/>
    </row>
    <row r="2154" spans="2:2" x14ac:dyDescent="0.2">
      <c r="B2154" s="48"/>
    </row>
    <row r="2155" spans="2:2" x14ac:dyDescent="0.2">
      <c r="B2155" s="48"/>
    </row>
    <row r="2156" spans="2:2" x14ac:dyDescent="0.2">
      <c r="B2156" s="48"/>
    </row>
    <row r="2157" spans="2:2" x14ac:dyDescent="0.2">
      <c r="B2157" s="48"/>
    </row>
    <row r="2158" spans="2:2" x14ac:dyDescent="0.2">
      <c r="B2158" s="48"/>
    </row>
    <row r="2159" spans="2:2" x14ac:dyDescent="0.2">
      <c r="B2159" s="48"/>
    </row>
    <row r="2160" spans="2:2" x14ac:dyDescent="0.2">
      <c r="B2160" s="48"/>
    </row>
    <row r="2161" spans="2:2" x14ac:dyDescent="0.2">
      <c r="B2161" s="48"/>
    </row>
    <row r="2162" spans="2:2" x14ac:dyDescent="0.2">
      <c r="B2162" s="48"/>
    </row>
    <row r="2163" spans="2:2" x14ac:dyDescent="0.2">
      <c r="B2163" s="48"/>
    </row>
    <row r="2164" spans="2:2" x14ac:dyDescent="0.2">
      <c r="B2164" s="48"/>
    </row>
    <row r="2165" spans="2:2" x14ac:dyDescent="0.2">
      <c r="B2165" s="48"/>
    </row>
    <row r="2166" spans="2:2" x14ac:dyDescent="0.2">
      <c r="B2166" s="48"/>
    </row>
    <row r="2167" spans="2:2" x14ac:dyDescent="0.2">
      <c r="B2167" s="48"/>
    </row>
    <row r="2168" spans="2:2" x14ac:dyDescent="0.2">
      <c r="B2168" s="48"/>
    </row>
    <row r="2169" spans="2:2" x14ac:dyDescent="0.2">
      <c r="B2169" s="48"/>
    </row>
    <row r="2170" spans="2:2" x14ac:dyDescent="0.2">
      <c r="B2170" s="48"/>
    </row>
    <row r="2171" spans="2:2" x14ac:dyDescent="0.2">
      <c r="B2171" s="48"/>
    </row>
    <row r="2172" spans="2:2" x14ac:dyDescent="0.2">
      <c r="B2172" s="48"/>
    </row>
    <row r="2173" spans="2:2" x14ac:dyDescent="0.2">
      <c r="B2173" s="48"/>
    </row>
    <row r="2174" spans="2:2" x14ac:dyDescent="0.2">
      <c r="B2174" s="48"/>
    </row>
    <row r="2175" spans="2:2" x14ac:dyDescent="0.2">
      <c r="B2175" s="48"/>
    </row>
    <row r="2176" spans="2:2" x14ac:dyDescent="0.2">
      <c r="B2176" s="48"/>
    </row>
    <row r="2177" spans="2:2" x14ac:dyDescent="0.2">
      <c r="B2177" s="48"/>
    </row>
    <row r="2178" spans="2:2" x14ac:dyDescent="0.2">
      <c r="B2178" s="48"/>
    </row>
    <row r="2179" spans="2:2" x14ac:dyDescent="0.2">
      <c r="B2179" s="48"/>
    </row>
    <row r="2180" spans="2:2" x14ac:dyDescent="0.2">
      <c r="B2180" s="48"/>
    </row>
    <row r="2181" spans="2:2" x14ac:dyDescent="0.2">
      <c r="B2181" s="48"/>
    </row>
    <row r="2182" spans="2:2" x14ac:dyDescent="0.2">
      <c r="B2182" s="48"/>
    </row>
    <row r="2183" spans="2:2" x14ac:dyDescent="0.2">
      <c r="B2183" s="48"/>
    </row>
    <row r="2184" spans="2:2" x14ac:dyDescent="0.2">
      <c r="B2184" s="48"/>
    </row>
    <row r="2185" spans="2:2" x14ac:dyDescent="0.2">
      <c r="B2185" s="48"/>
    </row>
    <row r="2186" spans="2:2" x14ac:dyDescent="0.2">
      <c r="B2186" s="48"/>
    </row>
    <row r="2187" spans="2:2" x14ac:dyDescent="0.2">
      <c r="B2187" s="48"/>
    </row>
    <row r="2188" spans="2:2" x14ac:dyDescent="0.2">
      <c r="B2188" s="48"/>
    </row>
    <row r="2189" spans="2:2" x14ac:dyDescent="0.2">
      <c r="B2189" s="48"/>
    </row>
    <row r="2190" spans="2:2" x14ac:dyDescent="0.2">
      <c r="B2190" s="48"/>
    </row>
    <row r="2191" spans="2:2" x14ac:dyDescent="0.2">
      <c r="B2191" s="48"/>
    </row>
    <row r="2192" spans="2:2" x14ac:dyDescent="0.2">
      <c r="B2192" s="48"/>
    </row>
    <row r="2193" spans="2:2" x14ac:dyDescent="0.2">
      <c r="B2193" s="48"/>
    </row>
    <row r="2194" spans="2:2" x14ac:dyDescent="0.2">
      <c r="B2194" s="48"/>
    </row>
    <row r="2195" spans="2:2" x14ac:dyDescent="0.2">
      <c r="B2195" s="48"/>
    </row>
    <row r="2196" spans="2:2" x14ac:dyDescent="0.2">
      <c r="B2196" s="48"/>
    </row>
    <row r="2197" spans="2:2" x14ac:dyDescent="0.2">
      <c r="B2197" s="48"/>
    </row>
    <row r="2198" spans="2:2" x14ac:dyDescent="0.2">
      <c r="B2198" s="48"/>
    </row>
    <row r="2199" spans="2:2" x14ac:dyDescent="0.2">
      <c r="B2199" s="48"/>
    </row>
    <row r="2200" spans="2:2" x14ac:dyDescent="0.2">
      <c r="B2200" s="48"/>
    </row>
    <row r="2201" spans="2:2" x14ac:dyDescent="0.2">
      <c r="B2201" s="48"/>
    </row>
    <row r="2202" spans="2:2" x14ac:dyDescent="0.2">
      <c r="B2202" s="48"/>
    </row>
    <row r="2203" spans="2:2" x14ac:dyDescent="0.2">
      <c r="B2203" s="48"/>
    </row>
    <row r="2204" spans="2:2" x14ac:dyDescent="0.2">
      <c r="B2204" s="48"/>
    </row>
    <row r="2205" spans="2:2" x14ac:dyDescent="0.2">
      <c r="B2205" s="48"/>
    </row>
    <row r="2206" spans="2:2" x14ac:dyDescent="0.2">
      <c r="B2206" s="48"/>
    </row>
    <row r="2207" spans="2:2" x14ac:dyDescent="0.2">
      <c r="B2207" s="48"/>
    </row>
    <row r="2208" spans="2:2" x14ac:dyDescent="0.2">
      <c r="B2208" s="48"/>
    </row>
    <row r="2209" spans="2:2" x14ac:dyDescent="0.2">
      <c r="B2209" s="48"/>
    </row>
    <row r="2210" spans="2:2" x14ac:dyDescent="0.2">
      <c r="B2210" s="48"/>
    </row>
    <row r="2211" spans="2:2" x14ac:dyDescent="0.2">
      <c r="B2211" s="48"/>
    </row>
    <row r="2212" spans="2:2" x14ac:dyDescent="0.2">
      <c r="B2212" s="48"/>
    </row>
    <row r="2213" spans="2:2" x14ac:dyDescent="0.2">
      <c r="B2213" s="48"/>
    </row>
    <row r="2214" spans="2:2" x14ac:dyDescent="0.2">
      <c r="B2214" s="48"/>
    </row>
    <row r="2215" spans="2:2" x14ac:dyDescent="0.2">
      <c r="B2215" s="48"/>
    </row>
    <row r="2216" spans="2:2" x14ac:dyDescent="0.2">
      <c r="B2216" s="48"/>
    </row>
    <row r="2217" spans="2:2" x14ac:dyDescent="0.2">
      <c r="B2217" s="48"/>
    </row>
    <row r="2218" spans="2:2" x14ac:dyDescent="0.2">
      <c r="B2218" s="48"/>
    </row>
    <row r="2219" spans="2:2" x14ac:dyDescent="0.2">
      <c r="B2219" s="48"/>
    </row>
    <row r="2220" spans="2:2" x14ac:dyDescent="0.2">
      <c r="B2220" s="48"/>
    </row>
    <row r="2221" spans="2:2" x14ac:dyDescent="0.2">
      <c r="B2221" s="48"/>
    </row>
    <row r="2222" spans="2:2" x14ac:dyDescent="0.2">
      <c r="B2222" s="48"/>
    </row>
    <row r="2223" spans="2:2" x14ac:dyDescent="0.2">
      <c r="B2223" s="48"/>
    </row>
    <row r="2224" spans="2:2" x14ac:dyDescent="0.2">
      <c r="B2224" s="48"/>
    </row>
    <row r="2225" spans="2:2" x14ac:dyDescent="0.2">
      <c r="B2225" s="48"/>
    </row>
    <row r="2226" spans="2:2" x14ac:dyDescent="0.2">
      <c r="B2226" s="48"/>
    </row>
    <row r="2227" spans="2:2" x14ac:dyDescent="0.2">
      <c r="B2227" s="48"/>
    </row>
    <row r="2228" spans="2:2" x14ac:dyDescent="0.2">
      <c r="B2228" s="48"/>
    </row>
    <row r="2229" spans="2:2" x14ac:dyDescent="0.2">
      <c r="B2229" s="48"/>
    </row>
    <row r="2230" spans="2:2" x14ac:dyDescent="0.2">
      <c r="B2230" s="48"/>
    </row>
    <row r="2231" spans="2:2" x14ac:dyDescent="0.2">
      <c r="B2231" s="48"/>
    </row>
    <row r="2232" spans="2:2" x14ac:dyDescent="0.2">
      <c r="B2232" s="48"/>
    </row>
    <row r="2233" spans="2:2" x14ac:dyDescent="0.2">
      <c r="B2233" s="48"/>
    </row>
    <row r="2234" spans="2:2" x14ac:dyDescent="0.2">
      <c r="B2234" s="48"/>
    </row>
    <row r="2235" spans="2:2" x14ac:dyDescent="0.2">
      <c r="B2235" s="48"/>
    </row>
    <row r="2236" spans="2:2" x14ac:dyDescent="0.2">
      <c r="B2236" s="48"/>
    </row>
    <row r="2237" spans="2:2" x14ac:dyDescent="0.2">
      <c r="B2237" s="48"/>
    </row>
    <row r="2238" spans="2:2" x14ac:dyDescent="0.2">
      <c r="B2238" s="48"/>
    </row>
    <row r="2239" spans="2:2" x14ac:dyDescent="0.2">
      <c r="B2239" s="48"/>
    </row>
    <row r="2240" spans="2:2" x14ac:dyDescent="0.2">
      <c r="B2240" s="48"/>
    </row>
    <row r="2241" spans="2:2" x14ac:dyDescent="0.2">
      <c r="B2241" s="48"/>
    </row>
    <row r="2242" spans="2:2" x14ac:dyDescent="0.2">
      <c r="B2242" s="48"/>
    </row>
    <row r="2243" spans="2:2" x14ac:dyDescent="0.2">
      <c r="B2243" s="48"/>
    </row>
    <row r="2244" spans="2:2" x14ac:dyDescent="0.2">
      <c r="B2244" s="48"/>
    </row>
    <row r="2245" spans="2:2" x14ac:dyDescent="0.2">
      <c r="B2245" s="48"/>
    </row>
    <row r="2246" spans="2:2" x14ac:dyDescent="0.2">
      <c r="B2246" s="48"/>
    </row>
    <row r="2247" spans="2:2" x14ac:dyDescent="0.2">
      <c r="B2247" s="48"/>
    </row>
    <row r="2248" spans="2:2" x14ac:dyDescent="0.2">
      <c r="B2248" s="48"/>
    </row>
    <row r="2249" spans="2:2" x14ac:dyDescent="0.2">
      <c r="B2249" s="48"/>
    </row>
    <row r="2250" spans="2:2" x14ac:dyDescent="0.2">
      <c r="B2250" s="48"/>
    </row>
    <row r="2251" spans="2:2" x14ac:dyDescent="0.2">
      <c r="B2251" s="48"/>
    </row>
    <row r="2252" spans="2:2" x14ac:dyDescent="0.2">
      <c r="B2252" s="48"/>
    </row>
    <row r="2253" spans="2:2" x14ac:dyDescent="0.2">
      <c r="B2253" s="48"/>
    </row>
    <row r="2254" spans="2:2" x14ac:dyDescent="0.2">
      <c r="B2254" s="48"/>
    </row>
    <row r="2255" spans="2:2" x14ac:dyDescent="0.2">
      <c r="B2255" s="48"/>
    </row>
    <row r="2256" spans="2:2" x14ac:dyDescent="0.2">
      <c r="B2256" s="48"/>
    </row>
    <row r="2257" spans="2:2" x14ac:dyDescent="0.2">
      <c r="B2257" s="48"/>
    </row>
    <row r="2258" spans="2:2" x14ac:dyDescent="0.2">
      <c r="B2258" s="48"/>
    </row>
    <row r="2259" spans="2:2" x14ac:dyDescent="0.2">
      <c r="B2259" s="48"/>
    </row>
    <row r="2260" spans="2:2" x14ac:dyDescent="0.2">
      <c r="B2260" s="48"/>
    </row>
    <row r="2261" spans="2:2" x14ac:dyDescent="0.2">
      <c r="B2261" s="48"/>
    </row>
    <row r="2262" spans="2:2" x14ac:dyDescent="0.2">
      <c r="B2262" s="48"/>
    </row>
    <row r="2263" spans="2:2" x14ac:dyDescent="0.2">
      <c r="B2263" s="48"/>
    </row>
    <row r="2264" spans="2:2" x14ac:dyDescent="0.2">
      <c r="B2264" s="48"/>
    </row>
    <row r="2265" spans="2:2" x14ac:dyDescent="0.2">
      <c r="B2265" s="48"/>
    </row>
    <row r="2266" spans="2:2" x14ac:dyDescent="0.2">
      <c r="B2266" s="48"/>
    </row>
    <row r="2267" spans="2:2" x14ac:dyDescent="0.2">
      <c r="B2267" s="48"/>
    </row>
    <row r="2268" spans="2:2" x14ac:dyDescent="0.2">
      <c r="B2268" s="48"/>
    </row>
    <row r="2269" spans="2:2" x14ac:dyDescent="0.2">
      <c r="B2269" s="48"/>
    </row>
    <row r="2270" spans="2:2" x14ac:dyDescent="0.2">
      <c r="B2270" s="48"/>
    </row>
    <row r="2271" spans="2:2" x14ac:dyDescent="0.2">
      <c r="B2271" s="48"/>
    </row>
    <row r="2272" spans="2:2" x14ac:dyDescent="0.2">
      <c r="B2272" s="48"/>
    </row>
    <row r="2273" spans="2:2" x14ac:dyDescent="0.2">
      <c r="B2273" s="48"/>
    </row>
    <row r="2274" spans="2:2" x14ac:dyDescent="0.2">
      <c r="B2274" s="48"/>
    </row>
    <row r="2275" spans="2:2" x14ac:dyDescent="0.2">
      <c r="B2275" s="48"/>
    </row>
    <row r="2276" spans="2:2" x14ac:dyDescent="0.2">
      <c r="B2276" s="48"/>
    </row>
    <row r="2277" spans="2:2" x14ac:dyDescent="0.2">
      <c r="B2277" s="48"/>
    </row>
    <row r="2278" spans="2:2" x14ac:dyDescent="0.2">
      <c r="B2278" s="48"/>
    </row>
    <row r="2279" spans="2:2" x14ac:dyDescent="0.2">
      <c r="B2279" s="48"/>
    </row>
    <row r="2280" spans="2:2" x14ac:dyDescent="0.2">
      <c r="B2280" s="48"/>
    </row>
    <row r="2281" spans="2:2" x14ac:dyDescent="0.2">
      <c r="B2281" s="48"/>
    </row>
    <row r="2282" spans="2:2" x14ac:dyDescent="0.2">
      <c r="B2282" s="48"/>
    </row>
    <row r="2283" spans="2:2" x14ac:dyDescent="0.2">
      <c r="B2283" s="48"/>
    </row>
    <row r="2284" spans="2:2" x14ac:dyDescent="0.2">
      <c r="B2284" s="48"/>
    </row>
    <row r="2285" spans="2:2" x14ac:dyDescent="0.2">
      <c r="B2285" s="48"/>
    </row>
    <row r="2286" spans="2:2" x14ac:dyDescent="0.2">
      <c r="B2286" s="48"/>
    </row>
    <row r="2287" spans="2:2" x14ac:dyDescent="0.2">
      <c r="B2287" s="48"/>
    </row>
    <row r="2288" spans="2:2" x14ac:dyDescent="0.2">
      <c r="B2288" s="48"/>
    </row>
    <row r="2289" spans="2:2" x14ac:dyDescent="0.2">
      <c r="B2289" s="48"/>
    </row>
    <row r="2290" spans="2:2" x14ac:dyDescent="0.2">
      <c r="B2290" s="48"/>
    </row>
    <row r="2291" spans="2:2" x14ac:dyDescent="0.2">
      <c r="B2291" s="48"/>
    </row>
    <row r="2292" spans="2:2" x14ac:dyDescent="0.2">
      <c r="B2292" s="48"/>
    </row>
    <row r="2293" spans="2:2" x14ac:dyDescent="0.2">
      <c r="B2293" s="48"/>
    </row>
    <row r="2294" spans="2:2" x14ac:dyDescent="0.2">
      <c r="B2294" s="48"/>
    </row>
    <row r="2295" spans="2:2" x14ac:dyDescent="0.2">
      <c r="B2295" s="48"/>
    </row>
    <row r="2296" spans="2:2" x14ac:dyDescent="0.2">
      <c r="B2296" s="48"/>
    </row>
    <row r="2297" spans="2:2" x14ac:dyDescent="0.2">
      <c r="B2297" s="48"/>
    </row>
    <row r="2298" spans="2:2" x14ac:dyDescent="0.2">
      <c r="B2298" s="48"/>
    </row>
    <row r="2299" spans="2:2" x14ac:dyDescent="0.2">
      <c r="B2299" s="48"/>
    </row>
    <row r="2300" spans="2:2" x14ac:dyDescent="0.2">
      <c r="B2300" s="48"/>
    </row>
    <row r="2301" spans="2:2" x14ac:dyDescent="0.2">
      <c r="B2301" s="48"/>
    </row>
    <row r="2302" spans="2:2" x14ac:dyDescent="0.2">
      <c r="B2302" s="48"/>
    </row>
    <row r="2303" spans="2:2" x14ac:dyDescent="0.2">
      <c r="B2303" s="48"/>
    </row>
    <row r="2304" spans="2:2" x14ac:dyDescent="0.2">
      <c r="B2304" s="48"/>
    </row>
    <row r="2305" spans="2:2" x14ac:dyDescent="0.2">
      <c r="B2305" s="48"/>
    </row>
    <row r="2306" spans="2:2" x14ac:dyDescent="0.2">
      <c r="B2306" s="48"/>
    </row>
    <row r="2307" spans="2:2" x14ac:dyDescent="0.2">
      <c r="B2307" s="48"/>
    </row>
    <row r="2308" spans="2:2" x14ac:dyDescent="0.2">
      <c r="B2308" s="48"/>
    </row>
    <row r="2309" spans="2:2" x14ac:dyDescent="0.2">
      <c r="B2309" s="48"/>
    </row>
    <row r="2310" spans="2:2" x14ac:dyDescent="0.2">
      <c r="B2310" s="48"/>
    </row>
    <row r="2311" spans="2:2" x14ac:dyDescent="0.2">
      <c r="B2311" s="48"/>
    </row>
    <row r="2312" spans="2:2" x14ac:dyDescent="0.2">
      <c r="B2312" s="48"/>
    </row>
    <row r="2313" spans="2:2" x14ac:dyDescent="0.2">
      <c r="B2313" s="48"/>
    </row>
    <row r="2314" spans="2:2" x14ac:dyDescent="0.2">
      <c r="B2314" s="48"/>
    </row>
    <row r="2315" spans="2:2" x14ac:dyDescent="0.2">
      <c r="B2315" s="48"/>
    </row>
    <row r="2316" spans="2:2" x14ac:dyDescent="0.2">
      <c r="B2316" s="48"/>
    </row>
    <row r="2317" spans="2:2" x14ac:dyDescent="0.2">
      <c r="B2317" s="48"/>
    </row>
    <row r="2318" spans="2:2" x14ac:dyDescent="0.2">
      <c r="B2318" s="48"/>
    </row>
    <row r="2319" spans="2:2" x14ac:dyDescent="0.2">
      <c r="B2319" s="48"/>
    </row>
    <row r="2320" spans="2:2" x14ac:dyDescent="0.2">
      <c r="B2320" s="48"/>
    </row>
    <row r="2321" spans="2:2" x14ac:dyDescent="0.2">
      <c r="B2321" s="48"/>
    </row>
    <row r="2322" spans="2:2" x14ac:dyDescent="0.2">
      <c r="B2322" s="48"/>
    </row>
    <row r="2323" spans="2:2" x14ac:dyDescent="0.2">
      <c r="B2323" s="48"/>
    </row>
    <row r="2324" spans="2:2" x14ac:dyDescent="0.2">
      <c r="B2324" s="48"/>
    </row>
    <row r="2325" spans="2:2" x14ac:dyDescent="0.2">
      <c r="B2325" s="48"/>
    </row>
    <row r="2326" spans="2:2" x14ac:dyDescent="0.2">
      <c r="B2326" s="48"/>
    </row>
    <row r="2327" spans="2:2" x14ac:dyDescent="0.2">
      <c r="B2327" s="48"/>
    </row>
    <row r="2328" spans="2:2" x14ac:dyDescent="0.2">
      <c r="B2328" s="48"/>
    </row>
    <row r="2329" spans="2:2" x14ac:dyDescent="0.2">
      <c r="B2329" s="48"/>
    </row>
    <row r="2330" spans="2:2" x14ac:dyDescent="0.2">
      <c r="B2330" s="48"/>
    </row>
    <row r="2331" spans="2:2" x14ac:dyDescent="0.2">
      <c r="B2331" s="48"/>
    </row>
    <row r="2332" spans="2:2" x14ac:dyDescent="0.2">
      <c r="B2332" s="48"/>
    </row>
    <row r="2333" spans="2:2" x14ac:dyDescent="0.2">
      <c r="B2333" s="48"/>
    </row>
    <row r="2334" spans="2:2" x14ac:dyDescent="0.2">
      <c r="B2334" s="48"/>
    </row>
    <row r="2335" spans="2:2" x14ac:dyDescent="0.2">
      <c r="B2335" s="48"/>
    </row>
    <row r="2336" spans="2:2" x14ac:dyDescent="0.2">
      <c r="B2336" s="48"/>
    </row>
    <row r="2337" spans="2:2" x14ac:dyDescent="0.2">
      <c r="B2337" s="48"/>
    </row>
    <row r="2338" spans="2:2" x14ac:dyDescent="0.2">
      <c r="B2338" s="48"/>
    </row>
    <row r="2339" spans="2:2" x14ac:dyDescent="0.2">
      <c r="B2339" s="48"/>
    </row>
    <row r="2340" spans="2:2" x14ac:dyDescent="0.2">
      <c r="B2340" s="48"/>
    </row>
    <row r="2341" spans="2:2" x14ac:dyDescent="0.2">
      <c r="B2341" s="48"/>
    </row>
    <row r="2342" spans="2:2" x14ac:dyDescent="0.2">
      <c r="B2342" s="48"/>
    </row>
    <row r="2343" spans="2:2" x14ac:dyDescent="0.2">
      <c r="B2343" s="48"/>
    </row>
    <row r="2344" spans="2:2" x14ac:dyDescent="0.2">
      <c r="B2344" s="48"/>
    </row>
    <row r="2345" spans="2:2" x14ac:dyDescent="0.2">
      <c r="B2345" s="48"/>
    </row>
    <row r="2346" spans="2:2" x14ac:dyDescent="0.2">
      <c r="B2346" s="48"/>
    </row>
    <row r="2347" spans="2:2" x14ac:dyDescent="0.2">
      <c r="B2347" s="48"/>
    </row>
    <row r="2348" spans="2:2" x14ac:dyDescent="0.2">
      <c r="B2348" s="48"/>
    </row>
    <row r="2349" spans="2:2" x14ac:dyDescent="0.2">
      <c r="B2349" s="48"/>
    </row>
    <row r="2350" spans="2:2" x14ac:dyDescent="0.2">
      <c r="B2350" s="48"/>
    </row>
    <row r="2351" spans="2:2" x14ac:dyDescent="0.2">
      <c r="B2351" s="48"/>
    </row>
    <row r="2352" spans="2:2" x14ac:dyDescent="0.2">
      <c r="B2352" s="48"/>
    </row>
    <row r="2353" spans="2:2" x14ac:dyDescent="0.2">
      <c r="B2353" s="48"/>
    </row>
    <row r="2354" spans="2:2" x14ac:dyDescent="0.2">
      <c r="B2354" s="48"/>
    </row>
    <row r="2355" spans="2:2" x14ac:dyDescent="0.2">
      <c r="B2355" s="48"/>
    </row>
    <row r="2356" spans="2:2" x14ac:dyDescent="0.2">
      <c r="B2356" s="48"/>
    </row>
    <row r="2357" spans="2:2" x14ac:dyDescent="0.2">
      <c r="B2357" s="48"/>
    </row>
    <row r="2358" spans="2:2" x14ac:dyDescent="0.2">
      <c r="B2358" s="48"/>
    </row>
    <row r="2359" spans="2:2" x14ac:dyDescent="0.2">
      <c r="B2359" s="48"/>
    </row>
    <row r="2360" spans="2:2" x14ac:dyDescent="0.2">
      <c r="B2360" s="48"/>
    </row>
    <row r="2361" spans="2:2" x14ac:dyDescent="0.2">
      <c r="B2361" s="48"/>
    </row>
    <row r="2362" spans="2:2" x14ac:dyDescent="0.2">
      <c r="B2362" s="48"/>
    </row>
    <row r="2363" spans="2:2" x14ac:dyDescent="0.2">
      <c r="B2363" s="48"/>
    </row>
    <row r="2364" spans="2:2" x14ac:dyDescent="0.2">
      <c r="B2364" s="48"/>
    </row>
    <row r="2365" spans="2:2" x14ac:dyDescent="0.2">
      <c r="B2365" s="48"/>
    </row>
    <row r="2366" spans="2:2" x14ac:dyDescent="0.2">
      <c r="B2366" s="48"/>
    </row>
    <row r="2367" spans="2:2" x14ac:dyDescent="0.2">
      <c r="B2367" s="48"/>
    </row>
    <row r="2368" spans="2:2" x14ac:dyDescent="0.2">
      <c r="B2368" s="48"/>
    </row>
    <row r="2369" spans="2:2" x14ac:dyDescent="0.2">
      <c r="B2369" s="48"/>
    </row>
    <row r="2370" spans="2:2" x14ac:dyDescent="0.2">
      <c r="B2370" s="48"/>
    </row>
    <row r="2371" spans="2:2" x14ac:dyDescent="0.2">
      <c r="B2371" s="48"/>
    </row>
    <row r="2372" spans="2:2" x14ac:dyDescent="0.2">
      <c r="B2372" s="48"/>
    </row>
    <row r="2373" spans="2:2" x14ac:dyDescent="0.2">
      <c r="B2373" s="48"/>
    </row>
    <row r="2374" spans="2:2" x14ac:dyDescent="0.2">
      <c r="B2374" s="48"/>
    </row>
    <row r="2375" spans="2:2" x14ac:dyDescent="0.2">
      <c r="B2375" s="48"/>
    </row>
    <row r="2376" spans="2:2" x14ac:dyDescent="0.2">
      <c r="B2376" s="48"/>
    </row>
    <row r="2377" spans="2:2" x14ac:dyDescent="0.2">
      <c r="B2377" s="48"/>
    </row>
    <row r="2378" spans="2:2" x14ac:dyDescent="0.2">
      <c r="B2378" s="48"/>
    </row>
    <row r="2379" spans="2:2" x14ac:dyDescent="0.2">
      <c r="B2379" s="48"/>
    </row>
    <row r="2380" spans="2:2" x14ac:dyDescent="0.2">
      <c r="B2380" s="48"/>
    </row>
    <row r="2381" spans="2:2" x14ac:dyDescent="0.2">
      <c r="B2381" s="48"/>
    </row>
    <row r="2382" spans="2:2" x14ac:dyDescent="0.2">
      <c r="B2382" s="48"/>
    </row>
    <row r="2383" spans="2:2" x14ac:dyDescent="0.2">
      <c r="B2383" s="48"/>
    </row>
    <row r="2384" spans="2:2" x14ac:dyDescent="0.2">
      <c r="B2384" s="48"/>
    </row>
    <row r="2385" spans="2:2" x14ac:dyDescent="0.2">
      <c r="B2385" s="48"/>
    </row>
    <row r="2386" spans="2:2" x14ac:dyDescent="0.2">
      <c r="B2386" s="48"/>
    </row>
    <row r="2387" spans="2:2" x14ac:dyDescent="0.2">
      <c r="B2387" s="48"/>
    </row>
    <row r="2388" spans="2:2" x14ac:dyDescent="0.2">
      <c r="B2388" s="48"/>
    </row>
    <row r="2389" spans="2:2" x14ac:dyDescent="0.2">
      <c r="B2389" s="48"/>
    </row>
    <row r="2390" spans="2:2" x14ac:dyDescent="0.2">
      <c r="B2390" s="48"/>
    </row>
    <row r="2391" spans="2:2" x14ac:dyDescent="0.2">
      <c r="B2391" s="48"/>
    </row>
    <row r="2392" spans="2:2" x14ac:dyDescent="0.2">
      <c r="B2392" s="48"/>
    </row>
    <row r="2393" spans="2:2" x14ac:dyDescent="0.2">
      <c r="B2393" s="48"/>
    </row>
    <row r="2394" spans="2:2" x14ac:dyDescent="0.2">
      <c r="B2394" s="48"/>
    </row>
    <row r="2395" spans="2:2" x14ac:dyDescent="0.2">
      <c r="B2395" s="48"/>
    </row>
    <row r="2396" spans="2:2" x14ac:dyDescent="0.2">
      <c r="B2396" s="48"/>
    </row>
    <row r="2397" spans="2:2" x14ac:dyDescent="0.2">
      <c r="B2397" s="48"/>
    </row>
    <row r="2398" spans="2:2" x14ac:dyDescent="0.2">
      <c r="B2398" s="48"/>
    </row>
    <row r="2399" spans="2:2" x14ac:dyDescent="0.2">
      <c r="B2399" s="48"/>
    </row>
    <row r="2400" spans="2:2" x14ac:dyDescent="0.2">
      <c r="B2400" s="48"/>
    </row>
    <row r="2401" spans="2:2" x14ac:dyDescent="0.2">
      <c r="B2401" s="48"/>
    </row>
    <row r="2402" spans="2:2" x14ac:dyDescent="0.2">
      <c r="B2402" s="48"/>
    </row>
    <row r="2403" spans="2:2" x14ac:dyDescent="0.2">
      <c r="B2403" s="48"/>
    </row>
    <row r="2404" spans="2:2" x14ac:dyDescent="0.2">
      <c r="B2404" s="48"/>
    </row>
    <row r="2405" spans="2:2" x14ac:dyDescent="0.2">
      <c r="B2405" s="48"/>
    </row>
    <row r="2406" spans="2:2" x14ac:dyDescent="0.2">
      <c r="B2406" s="48"/>
    </row>
    <row r="2407" spans="2:2" x14ac:dyDescent="0.2">
      <c r="B2407" s="48"/>
    </row>
    <row r="2408" spans="2:2" x14ac:dyDescent="0.2">
      <c r="B2408" s="48"/>
    </row>
    <row r="2409" spans="2:2" x14ac:dyDescent="0.2">
      <c r="B2409" s="48"/>
    </row>
    <row r="2410" spans="2:2" x14ac:dyDescent="0.2">
      <c r="B2410" s="48"/>
    </row>
    <row r="2411" spans="2:2" x14ac:dyDescent="0.2">
      <c r="B2411" s="48"/>
    </row>
    <row r="2412" spans="2:2" x14ac:dyDescent="0.2">
      <c r="B2412" s="48"/>
    </row>
    <row r="2413" spans="2:2" x14ac:dyDescent="0.2">
      <c r="B2413" s="48"/>
    </row>
    <row r="2414" spans="2:2" x14ac:dyDescent="0.2">
      <c r="B2414" s="48"/>
    </row>
    <row r="2415" spans="2:2" x14ac:dyDescent="0.2">
      <c r="B2415" s="48"/>
    </row>
    <row r="2416" spans="2:2" x14ac:dyDescent="0.2">
      <c r="B2416" s="48"/>
    </row>
    <row r="2417" spans="2:2" x14ac:dyDescent="0.2">
      <c r="B2417" s="48"/>
    </row>
    <row r="2418" spans="2:2" x14ac:dyDescent="0.2">
      <c r="B2418" s="48"/>
    </row>
    <row r="2419" spans="2:2" x14ac:dyDescent="0.2">
      <c r="B2419" s="48"/>
    </row>
    <row r="2420" spans="2:2" x14ac:dyDescent="0.2">
      <c r="B2420" s="48"/>
    </row>
    <row r="2421" spans="2:2" x14ac:dyDescent="0.2">
      <c r="B2421" s="48"/>
    </row>
    <row r="2422" spans="2:2" x14ac:dyDescent="0.2">
      <c r="B2422" s="48"/>
    </row>
    <row r="2423" spans="2:2" x14ac:dyDescent="0.2">
      <c r="B2423" s="48"/>
    </row>
    <row r="2424" spans="2:2" x14ac:dyDescent="0.2">
      <c r="B2424" s="48"/>
    </row>
    <row r="2425" spans="2:2" x14ac:dyDescent="0.2">
      <c r="B2425" s="48"/>
    </row>
    <row r="2426" spans="2:2" x14ac:dyDescent="0.2">
      <c r="B2426" s="48"/>
    </row>
    <row r="2427" spans="2:2" x14ac:dyDescent="0.2">
      <c r="B2427" s="48"/>
    </row>
    <row r="2428" spans="2:2" x14ac:dyDescent="0.2">
      <c r="B2428" s="48"/>
    </row>
    <row r="2429" spans="2:2" x14ac:dyDescent="0.2">
      <c r="B2429" s="48"/>
    </row>
    <row r="2430" spans="2:2" x14ac:dyDescent="0.2">
      <c r="B2430" s="48"/>
    </row>
    <row r="2431" spans="2:2" x14ac:dyDescent="0.2">
      <c r="B2431" s="48"/>
    </row>
    <row r="2432" spans="2:2" x14ac:dyDescent="0.2">
      <c r="B2432" s="48"/>
    </row>
    <row r="2433" spans="2:2" x14ac:dyDescent="0.2">
      <c r="B2433" s="48"/>
    </row>
    <row r="2434" spans="2:2" x14ac:dyDescent="0.2">
      <c r="B2434" s="48"/>
    </row>
    <row r="2435" spans="2:2" x14ac:dyDescent="0.2">
      <c r="B2435" s="48"/>
    </row>
    <row r="2436" spans="2:2" x14ac:dyDescent="0.2">
      <c r="B2436" s="48"/>
    </row>
    <row r="2437" spans="2:2" x14ac:dyDescent="0.2">
      <c r="B2437" s="48"/>
    </row>
    <row r="2438" spans="2:2" x14ac:dyDescent="0.2">
      <c r="B2438" s="48"/>
    </row>
    <row r="2439" spans="2:2" x14ac:dyDescent="0.2">
      <c r="B2439" s="48"/>
    </row>
    <row r="2440" spans="2:2" x14ac:dyDescent="0.2">
      <c r="B2440" s="48"/>
    </row>
    <row r="2441" spans="2:2" x14ac:dyDescent="0.2">
      <c r="B2441" s="48"/>
    </row>
    <row r="2442" spans="2:2" x14ac:dyDescent="0.2">
      <c r="B2442" s="48"/>
    </row>
    <row r="2443" spans="2:2" x14ac:dyDescent="0.2">
      <c r="B2443" s="48"/>
    </row>
    <row r="2444" spans="2:2" x14ac:dyDescent="0.2">
      <c r="B2444" s="48"/>
    </row>
    <row r="2445" spans="2:2" x14ac:dyDescent="0.2">
      <c r="B2445" s="48"/>
    </row>
    <row r="2446" spans="2:2" x14ac:dyDescent="0.2">
      <c r="B2446" s="48"/>
    </row>
    <row r="2447" spans="2:2" x14ac:dyDescent="0.2">
      <c r="B2447" s="48"/>
    </row>
    <row r="2448" spans="2:2" x14ac:dyDescent="0.2">
      <c r="B2448" s="48"/>
    </row>
    <row r="2449" spans="2:2" x14ac:dyDescent="0.2">
      <c r="B2449" s="48"/>
    </row>
    <row r="2450" spans="2:2" x14ac:dyDescent="0.2">
      <c r="B2450" s="48"/>
    </row>
    <row r="2451" spans="2:2" x14ac:dyDescent="0.2">
      <c r="B2451" s="48"/>
    </row>
    <row r="2452" spans="2:2" x14ac:dyDescent="0.2">
      <c r="B2452" s="48"/>
    </row>
    <row r="2453" spans="2:2" x14ac:dyDescent="0.2">
      <c r="B2453" s="48"/>
    </row>
    <row r="2454" spans="2:2" x14ac:dyDescent="0.2">
      <c r="B2454" s="48"/>
    </row>
    <row r="2455" spans="2:2" x14ac:dyDescent="0.2">
      <c r="B2455" s="48"/>
    </row>
    <row r="2456" spans="2:2" x14ac:dyDescent="0.2">
      <c r="B2456" s="48"/>
    </row>
    <row r="2457" spans="2:2" x14ac:dyDescent="0.2">
      <c r="B2457" s="48"/>
    </row>
    <row r="2458" spans="2:2" x14ac:dyDescent="0.2">
      <c r="B2458" s="48"/>
    </row>
    <row r="2459" spans="2:2" x14ac:dyDescent="0.2">
      <c r="B2459" s="48"/>
    </row>
    <row r="2460" spans="2:2" x14ac:dyDescent="0.2">
      <c r="B2460" s="48"/>
    </row>
    <row r="2461" spans="2:2" x14ac:dyDescent="0.2">
      <c r="B2461" s="48"/>
    </row>
    <row r="2462" spans="2:2" x14ac:dyDescent="0.2">
      <c r="B2462" s="48"/>
    </row>
    <row r="2463" spans="2:2" x14ac:dyDescent="0.2">
      <c r="B2463" s="48"/>
    </row>
    <row r="2464" spans="2:2" x14ac:dyDescent="0.2">
      <c r="B2464" s="48"/>
    </row>
    <row r="2465" spans="2:2" x14ac:dyDescent="0.2">
      <c r="B2465" s="48"/>
    </row>
    <row r="2466" spans="2:2" x14ac:dyDescent="0.2">
      <c r="B2466" s="48"/>
    </row>
    <row r="2467" spans="2:2" x14ac:dyDescent="0.2">
      <c r="B2467" s="48"/>
    </row>
    <row r="2468" spans="2:2" x14ac:dyDescent="0.2">
      <c r="B2468" s="48"/>
    </row>
    <row r="2469" spans="2:2" x14ac:dyDescent="0.2">
      <c r="B2469" s="48"/>
    </row>
    <row r="2470" spans="2:2" x14ac:dyDescent="0.2">
      <c r="B2470" s="48"/>
    </row>
    <row r="2471" spans="2:2" x14ac:dyDescent="0.2">
      <c r="B2471" s="48"/>
    </row>
    <row r="2472" spans="2:2" x14ac:dyDescent="0.2">
      <c r="B2472" s="48"/>
    </row>
    <row r="2473" spans="2:2" x14ac:dyDescent="0.2">
      <c r="B2473" s="48"/>
    </row>
    <row r="2474" spans="2:2" x14ac:dyDescent="0.2">
      <c r="B2474" s="48"/>
    </row>
    <row r="2475" spans="2:2" x14ac:dyDescent="0.2">
      <c r="B2475" s="48"/>
    </row>
    <row r="2476" spans="2:2" x14ac:dyDescent="0.2">
      <c r="B2476" s="48"/>
    </row>
    <row r="2477" spans="2:2" x14ac:dyDescent="0.2">
      <c r="B2477" s="48"/>
    </row>
    <row r="2478" spans="2:2" x14ac:dyDescent="0.2">
      <c r="B2478" s="48"/>
    </row>
    <row r="2479" spans="2:2" x14ac:dyDescent="0.2">
      <c r="B2479" s="48"/>
    </row>
    <row r="2480" spans="2:2" x14ac:dyDescent="0.2">
      <c r="B2480" s="48"/>
    </row>
    <row r="2481" spans="2:2" x14ac:dyDescent="0.2">
      <c r="B2481" s="48"/>
    </row>
    <row r="2482" spans="2:2" x14ac:dyDescent="0.2">
      <c r="B2482" s="48"/>
    </row>
    <row r="2483" spans="2:2" x14ac:dyDescent="0.2">
      <c r="B2483" s="48"/>
    </row>
    <row r="2484" spans="2:2" x14ac:dyDescent="0.2">
      <c r="B2484" s="48"/>
    </row>
    <row r="2485" spans="2:2" x14ac:dyDescent="0.2">
      <c r="B2485" s="48"/>
    </row>
    <row r="2486" spans="2:2" x14ac:dyDescent="0.2">
      <c r="B2486" s="48"/>
    </row>
    <row r="2487" spans="2:2" x14ac:dyDescent="0.2">
      <c r="B2487" s="48"/>
    </row>
    <row r="2488" spans="2:2" x14ac:dyDescent="0.2">
      <c r="B2488" s="48"/>
    </row>
    <row r="2489" spans="2:2" x14ac:dyDescent="0.2">
      <c r="B2489" s="48"/>
    </row>
    <row r="2490" spans="2:2" x14ac:dyDescent="0.2">
      <c r="B2490" s="48"/>
    </row>
    <row r="2491" spans="2:2" x14ac:dyDescent="0.2">
      <c r="B2491" s="48"/>
    </row>
    <row r="2492" spans="2:2" x14ac:dyDescent="0.2">
      <c r="B2492" s="48"/>
    </row>
    <row r="2493" spans="2:2" x14ac:dyDescent="0.2">
      <c r="B2493" s="48"/>
    </row>
    <row r="2494" spans="2:2" x14ac:dyDescent="0.2">
      <c r="B2494" s="48"/>
    </row>
    <row r="2495" spans="2:2" x14ac:dyDescent="0.2">
      <c r="B2495" s="48"/>
    </row>
    <row r="2496" spans="2:2" x14ac:dyDescent="0.2">
      <c r="B2496" s="48"/>
    </row>
    <row r="2497" spans="2:2" x14ac:dyDescent="0.2">
      <c r="B2497" s="48"/>
    </row>
    <row r="2498" spans="2:2" x14ac:dyDescent="0.2">
      <c r="B2498" s="48"/>
    </row>
    <row r="2499" spans="2:2" x14ac:dyDescent="0.2">
      <c r="B2499" s="48"/>
    </row>
    <row r="2500" spans="2:2" x14ac:dyDescent="0.2">
      <c r="B2500" s="48"/>
    </row>
    <row r="2501" spans="2:2" x14ac:dyDescent="0.2">
      <c r="B2501" s="48"/>
    </row>
    <row r="2502" spans="2:2" x14ac:dyDescent="0.2">
      <c r="B2502" s="48"/>
    </row>
    <row r="2503" spans="2:2" x14ac:dyDescent="0.2">
      <c r="B2503" s="48"/>
    </row>
    <row r="2504" spans="2:2" x14ac:dyDescent="0.2">
      <c r="B2504" s="48"/>
    </row>
    <row r="2505" spans="2:2" x14ac:dyDescent="0.2">
      <c r="B2505" s="48"/>
    </row>
    <row r="2506" spans="2:2" x14ac:dyDescent="0.2">
      <c r="B2506" s="48"/>
    </row>
    <row r="2507" spans="2:2" x14ac:dyDescent="0.2">
      <c r="B2507" s="48"/>
    </row>
    <row r="2508" spans="2:2" x14ac:dyDescent="0.2">
      <c r="B2508" s="48"/>
    </row>
    <row r="2509" spans="2:2" x14ac:dyDescent="0.2">
      <c r="B2509" s="48"/>
    </row>
    <row r="2510" spans="2:2" x14ac:dyDescent="0.2">
      <c r="B2510" s="48"/>
    </row>
    <row r="2511" spans="2:2" x14ac:dyDescent="0.2">
      <c r="B2511" s="48"/>
    </row>
    <row r="2512" spans="2:2" x14ac:dyDescent="0.2">
      <c r="B2512" s="48"/>
    </row>
    <row r="2513" spans="2:2" x14ac:dyDescent="0.2">
      <c r="B2513" s="48"/>
    </row>
    <row r="2514" spans="2:2" x14ac:dyDescent="0.2">
      <c r="B2514" s="48"/>
    </row>
    <row r="2515" spans="2:2" x14ac:dyDescent="0.2">
      <c r="B2515" s="48"/>
    </row>
    <row r="2516" spans="2:2" x14ac:dyDescent="0.2">
      <c r="B2516" s="48"/>
    </row>
    <row r="2517" spans="2:2" x14ac:dyDescent="0.2">
      <c r="B2517" s="48"/>
    </row>
    <row r="2518" spans="2:2" x14ac:dyDescent="0.2">
      <c r="B2518" s="48"/>
    </row>
    <row r="2519" spans="2:2" x14ac:dyDescent="0.2">
      <c r="B2519" s="48"/>
    </row>
    <row r="2520" spans="2:2" x14ac:dyDescent="0.2">
      <c r="B2520" s="48"/>
    </row>
    <row r="2521" spans="2:2" x14ac:dyDescent="0.2">
      <c r="B2521" s="48"/>
    </row>
    <row r="2522" spans="2:2" x14ac:dyDescent="0.2">
      <c r="B2522" s="48"/>
    </row>
    <row r="2523" spans="2:2" x14ac:dyDescent="0.2">
      <c r="B2523" s="48"/>
    </row>
    <row r="2524" spans="2:2" x14ac:dyDescent="0.2">
      <c r="B2524" s="48"/>
    </row>
    <row r="2525" spans="2:2" x14ac:dyDescent="0.2">
      <c r="B2525" s="48"/>
    </row>
    <row r="2526" spans="2:2" x14ac:dyDescent="0.2">
      <c r="B2526" s="48"/>
    </row>
    <row r="2527" spans="2:2" x14ac:dyDescent="0.2">
      <c r="B2527" s="48"/>
    </row>
    <row r="2528" spans="2:2" x14ac:dyDescent="0.2">
      <c r="B2528" s="48"/>
    </row>
    <row r="2529" spans="2:2" x14ac:dyDescent="0.2">
      <c r="B2529" s="48"/>
    </row>
    <row r="2530" spans="2:2" x14ac:dyDescent="0.2">
      <c r="B2530" s="48"/>
    </row>
    <row r="2531" spans="2:2" x14ac:dyDescent="0.2">
      <c r="B2531" s="48"/>
    </row>
    <row r="2532" spans="2:2" x14ac:dyDescent="0.2">
      <c r="B2532" s="48"/>
    </row>
    <row r="2533" spans="2:2" x14ac:dyDescent="0.2">
      <c r="B2533" s="48"/>
    </row>
    <row r="2534" spans="2:2" x14ac:dyDescent="0.2">
      <c r="B2534" s="48"/>
    </row>
    <row r="2535" spans="2:2" x14ac:dyDescent="0.2">
      <c r="B2535" s="48"/>
    </row>
    <row r="2536" spans="2:2" x14ac:dyDescent="0.2">
      <c r="B2536" s="48"/>
    </row>
    <row r="2537" spans="2:2" x14ac:dyDescent="0.2">
      <c r="B2537" s="48"/>
    </row>
    <row r="2538" spans="2:2" x14ac:dyDescent="0.2">
      <c r="B2538" s="48"/>
    </row>
    <row r="2539" spans="2:2" x14ac:dyDescent="0.2">
      <c r="B2539" s="48"/>
    </row>
    <row r="2540" spans="2:2" x14ac:dyDescent="0.2">
      <c r="B2540" s="48"/>
    </row>
    <row r="2541" spans="2:2" x14ac:dyDescent="0.2">
      <c r="B2541" s="48"/>
    </row>
    <row r="2542" spans="2:2" x14ac:dyDescent="0.2">
      <c r="B2542" s="48"/>
    </row>
    <row r="2543" spans="2:2" x14ac:dyDescent="0.2">
      <c r="B2543" s="48"/>
    </row>
    <row r="2544" spans="2:2" x14ac:dyDescent="0.2">
      <c r="B2544" s="48"/>
    </row>
    <row r="2545" spans="2:2" x14ac:dyDescent="0.2">
      <c r="B2545" s="48"/>
    </row>
    <row r="2546" spans="2:2" x14ac:dyDescent="0.2">
      <c r="B2546" s="48"/>
    </row>
    <row r="2547" spans="2:2" x14ac:dyDescent="0.2">
      <c r="B2547" s="48"/>
    </row>
    <row r="2548" spans="2:2" x14ac:dyDescent="0.2">
      <c r="B2548" s="48"/>
    </row>
    <row r="2549" spans="2:2" x14ac:dyDescent="0.2">
      <c r="B2549" s="48"/>
    </row>
    <row r="2550" spans="2:2" x14ac:dyDescent="0.2">
      <c r="B2550" s="48"/>
    </row>
  </sheetData>
  <sheetProtection autoFilter="0" pivotTables="0"/>
  <conditionalFormatting sqref="B1:B1048576">
    <cfRule type="cellIs" dxfId="9" priority="1" operator="equal">
      <formula>10</formula>
    </cfRule>
    <cfRule type="cellIs" dxfId="8" priority="2" operator="equal">
      <formula>9</formula>
    </cfRule>
    <cfRule type="cellIs" dxfId="7" priority="3" operator="equal">
      <formula>5</formula>
    </cfRule>
    <cfRule type="cellIs" dxfId="6" priority="4" operator="equal">
      <formula>8</formula>
    </cfRule>
    <cfRule type="cellIs" dxfId="5" priority="5" operator="equal">
      <formula>7</formula>
    </cfRule>
    <cfRule type="cellIs" dxfId="4" priority="6" operator="equal">
      <formula>6</formula>
    </cfRule>
    <cfRule type="cellIs" dxfId="3" priority="7" operator="equal">
      <formula>4</formula>
    </cfRule>
    <cfRule type="cellIs" dxfId="2" priority="8" operator="equal">
      <formula>3</formula>
    </cfRule>
    <cfRule type="cellIs" dxfId="1" priority="9" operator="equal">
      <formula>2</formula>
    </cfRule>
    <cfRule type="cellIs" dxfId="0" priority="10" operator="equal">
      <formula>1</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474" r:id="rId5" name="cmdCopyFromSummary">
              <controlPr defaultSize="0" print="0" autoFill="0" autoPict="0" macro="[0]!CreateCopyFromSummary">
                <anchor moveWithCells="1">
                  <from>
                    <xdr:col>0</xdr:col>
                    <xdr:colOff>95250</xdr:colOff>
                    <xdr:row>0</xdr:row>
                    <xdr:rowOff>19050</xdr:rowOff>
                  </from>
                  <to>
                    <xdr:col>0</xdr:col>
                    <xdr:colOff>1666875</xdr:colOff>
                    <xdr:row>0</xdr:row>
                    <xdr:rowOff>323850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786B2F30C91BD4685D503394F3C026C" ma:contentTypeVersion="13" ma:contentTypeDescription="Create a new document." ma:contentTypeScope="" ma:versionID="b51e51975653e2831262c2ec5b7cd67e">
  <xsd:schema xmlns:xsd="http://www.w3.org/2001/XMLSchema" xmlns:xs="http://www.w3.org/2001/XMLSchema" xmlns:p="http://schemas.microsoft.com/office/2006/metadata/properties" xmlns:ns1="http://schemas.microsoft.com/sharepoint/v3" xmlns:ns3="1a51b290-4ed3-418d-a3e9-08f4c216b012" xmlns:ns4="f45322ce-fc55-481b-b3a5-398bf9a646eb" targetNamespace="http://schemas.microsoft.com/office/2006/metadata/properties" ma:root="true" ma:fieldsID="6cb6f3b6aaa767aa5f5b482e3d278185" ns1:_="" ns3:_="" ns4:_="">
    <xsd:import namespace="http://schemas.microsoft.com/sharepoint/v3"/>
    <xsd:import namespace="1a51b290-4ed3-418d-a3e9-08f4c216b012"/>
    <xsd:import namespace="f45322ce-fc55-481b-b3a5-398bf9a646eb"/>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1:_ip_UnifiedCompliancePolicyProperties" minOccurs="0"/>
                <xsd:element ref="ns1:_ip_UnifiedCompliancePolicyUIActio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a51b290-4ed3-418d-a3e9-08f4c216b01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45322ce-fc55-481b-b3a5-398bf9a646eb"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3AE27228-3405-425D-A53D-2D3FF85C8BF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1a51b290-4ed3-418d-a3e9-08f4c216b012"/>
    <ds:schemaRef ds:uri="f45322ce-fc55-481b-b3a5-398bf9a646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69CC597-EB2E-4746-861A-3B4251390815}">
  <ds:schemaRefs>
    <ds:schemaRef ds:uri="http://schemas.microsoft.com/sharepoint/v3/contenttype/forms"/>
  </ds:schemaRefs>
</ds:datastoreItem>
</file>

<file path=customXml/itemProps3.xml><?xml version="1.0" encoding="utf-8"?>
<ds:datastoreItem xmlns:ds="http://schemas.openxmlformats.org/officeDocument/2006/customXml" ds:itemID="{4B84585E-760D-44C4-AF77-E65AA92E4DFA}">
  <ds:schemaRefs>
    <ds:schemaRef ds:uri="http://purl.org/dc/terms/"/>
    <ds:schemaRef ds:uri="http://purl.org/dc/dcmitype/"/>
    <ds:schemaRef ds:uri="http://schemas.microsoft.com/sharepoint/v3"/>
    <ds:schemaRef ds:uri="http://schemas.microsoft.com/office/2006/documentManagement/types"/>
    <ds:schemaRef ds:uri="http://schemas.microsoft.com/office/2006/metadata/properties"/>
    <ds:schemaRef ds:uri="1a51b290-4ed3-418d-a3e9-08f4c216b012"/>
    <ds:schemaRef ds:uri="http://schemas.microsoft.com/office/infopath/2007/PartnerControls"/>
    <ds:schemaRef ds:uri="http://schemas.openxmlformats.org/package/2006/metadata/core-properties"/>
    <ds:schemaRef ds:uri="f45322ce-fc55-481b-b3a5-398bf9a646eb"/>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18</vt:i4>
      </vt:variant>
    </vt:vector>
  </HeadingPairs>
  <TitlesOfParts>
    <vt:vector size="29" baseType="lpstr">
      <vt:lpstr>Introduction</vt:lpstr>
      <vt:lpstr>Instructions</vt:lpstr>
      <vt:lpstr>V 2017 Notes</vt:lpstr>
      <vt:lpstr>Database</vt:lpstr>
      <vt:lpstr>Criteria</vt:lpstr>
      <vt:lpstr>MRL Users Guide</vt:lpstr>
      <vt:lpstr>Definitions</vt:lpstr>
      <vt:lpstr>List of Acronyms</vt:lpstr>
      <vt:lpstr>Printable MRL Matrix</vt:lpstr>
      <vt:lpstr>Questionnaire</vt:lpstr>
      <vt:lpstr>Summary Pivot</vt:lpstr>
      <vt:lpstr>JTDatabase</vt:lpstr>
      <vt:lpstr>JTLink1Address</vt:lpstr>
      <vt:lpstr>JTLink1Text</vt:lpstr>
      <vt:lpstr>JTMatrixText</vt:lpstr>
      <vt:lpstr>JTMaturityLevel</vt:lpstr>
      <vt:lpstr>JTMaturityLevelRef</vt:lpstr>
      <vt:lpstr>JTRecordRef</vt:lpstr>
      <vt:lpstr>JTReferenceText</vt:lpstr>
      <vt:lpstr>JTRefRow</vt:lpstr>
      <vt:lpstr>JTTechnologyArea</vt:lpstr>
      <vt:lpstr>JTTechnologyAreaRef</vt:lpstr>
      <vt:lpstr>Definitions!Print_Area</vt:lpstr>
      <vt:lpstr>Instructions!Print_Area</vt:lpstr>
      <vt:lpstr>'MRL Users Guide'!Print_Area</vt:lpstr>
      <vt:lpstr>'Printable MRL Matrix'!Print_Area</vt:lpstr>
      <vt:lpstr>Questionnaire!Print_Area</vt:lpstr>
      <vt:lpstr>'MRL Users Guide'!Print_Titles</vt:lpstr>
      <vt:lpstr>'Printable MRL Matrix'!Print_Titles</vt:lpstr>
    </vt:vector>
  </TitlesOfParts>
  <Company>U.S Air Force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Thiese Jason M CTR USAF AFMC AFRL/RXMS</dc:creator>
  <cp:lastModifiedBy>BARRY</cp:lastModifiedBy>
  <dcterms:created xsi:type="dcterms:W3CDTF">2017-05-11T21:16:18Z</dcterms:created>
  <dcterms:modified xsi:type="dcterms:W3CDTF">2022-10-03T10:13:35Z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0x0101008786B2F30C91BD4685D503394F3C026C</vt:lpwstr>
  </property>
</Properties>
</file>